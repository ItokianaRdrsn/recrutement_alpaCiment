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dgStagiaireIT\OneDrive\itokiana\projet_stage\recrutement_codeSource\recrutement_alpaCiment\fiche_de_stage\"/>
    </mc:Choice>
  </mc:AlternateContent>
  <xr:revisionPtr revIDLastSave="0" documentId="13_ncr:1_{31B811BD-72A6-4898-ABF4-76B89E678B1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timation design 1" sheetId="1" r:id="rId1"/>
    <sheet name="Estimation Agile design 2" sheetId="2" r:id="rId2"/>
    <sheet name="Estimation info 1" sheetId="3" r:id="rId3"/>
    <sheet name="Estimation info 2" sheetId="4" r:id="rId4"/>
    <sheet name="Estimation info 3" sheetId="5" r:id="rId5"/>
    <sheet name="Estimation Agile info 4" sheetId="6" r:id="rId6"/>
    <sheet name="Estimation bino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19" i="2"/>
  <c r="C10" i="2"/>
  <c r="C90" i="2"/>
  <c r="G85" i="7"/>
  <c r="F85" i="7"/>
  <c r="E84" i="7"/>
  <c r="E83" i="7"/>
  <c r="E82" i="7"/>
  <c r="E81" i="7"/>
  <c r="E85" i="7" s="1"/>
  <c r="E80" i="7"/>
  <c r="E79" i="7"/>
  <c r="E78" i="7"/>
  <c r="E77" i="7"/>
  <c r="E76" i="7"/>
  <c r="G74" i="7"/>
  <c r="F74" i="7"/>
  <c r="E73" i="7"/>
  <c r="E72" i="7"/>
  <c r="E71" i="7"/>
  <c r="E70" i="7"/>
  <c r="E69" i="7"/>
  <c r="E68" i="7"/>
  <c r="E67" i="7"/>
  <c r="E66" i="7"/>
  <c r="E65" i="7"/>
  <c r="E74" i="7" s="1"/>
  <c r="E64" i="7"/>
  <c r="E63" i="7"/>
  <c r="E62" i="7"/>
  <c r="E61" i="7"/>
  <c r="G59" i="7"/>
  <c r="F59" i="7"/>
  <c r="E58" i="7"/>
  <c r="E59" i="7" s="1"/>
  <c r="E57" i="7"/>
  <c r="E56" i="7"/>
  <c r="E55" i="7"/>
  <c r="G53" i="7"/>
  <c r="F53" i="7"/>
  <c r="E52" i="7"/>
  <c r="E51" i="7"/>
  <c r="E50" i="7"/>
  <c r="E49" i="7"/>
  <c r="E48" i="7"/>
  <c r="E47" i="7"/>
  <c r="E46" i="7"/>
  <c r="E45" i="7"/>
  <c r="E44" i="7"/>
  <c r="E43" i="7"/>
  <c r="E53" i="7" s="1"/>
  <c r="E42" i="7"/>
  <c r="G40" i="7"/>
  <c r="F40" i="7"/>
  <c r="E39" i="7"/>
  <c r="E38" i="7"/>
  <c r="E37" i="7"/>
  <c r="E36" i="7"/>
  <c r="E35" i="7"/>
  <c r="E34" i="7"/>
  <c r="E33" i="7"/>
  <c r="E32" i="7"/>
  <c r="E31" i="7"/>
  <c r="E30" i="7"/>
  <c r="E29" i="7"/>
  <c r="E28" i="7"/>
  <c r="E40" i="7" s="1"/>
  <c r="G26" i="7"/>
  <c r="F26" i="7"/>
  <c r="E25" i="7"/>
  <c r="E24" i="7"/>
  <c r="E23" i="7"/>
  <c r="E22" i="7"/>
  <c r="E21" i="7"/>
  <c r="E20" i="7"/>
  <c r="E19" i="7"/>
  <c r="E18" i="7"/>
  <c r="E26" i="7" s="1"/>
  <c r="G16" i="7"/>
  <c r="F16" i="7"/>
  <c r="E15" i="7"/>
  <c r="E14" i="7"/>
  <c r="E16" i="7" s="1"/>
  <c r="E13" i="7"/>
  <c r="E12" i="7"/>
  <c r="G10" i="7"/>
  <c r="F10" i="7"/>
  <c r="E9" i="7"/>
  <c r="E8" i="7"/>
  <c r="E10" i="7" s="1"/>
  <c r="G6" i="7"/>
  <c r="G86" i="7" s="1"/>
  <c r="F6" i="7"/>
  <c r="F86" i="7" s="1"/>
  <c r="E5" i="7"/>
  <c r="E4" i="7"/>
  <c r="E6" i="7" s="1"/>
  <c r="C52" i="6"/>
  <c r="C54" i="6" s="1"/>
  <c r="C45" i="6"/>
  <c r="C32" i="6"/>
  <c r="C25" i="6"/>
  <c r="C16" i="6"/>
  <c r="C8" i="6"/>
  <c r="E54" i="5"/>
  <c r="E50" i="5"/>
  <c r="C40" i="4"/>
  <c r="C37" i="4"/>
  <c r="C42" i="4" s="1"/>
  <c r="C33" i="4"/>
  <c r="C6" i="4"/>
  <c r="E40" i="3"/>
  <c r="E46" i="3" s="1"/>
  <c r="E9" i="3"/>
  <c r="E33" i="1"/>
  <c r="E29" i="1"/>
  <c r="E21" i="1"/>
  <c r="E15" i="1"/>
  <c r="E14" i="1"/>
  <c r="E38" i="1" s="1"/>
  <c r="E8" i="1"/>
  <c r="E86" i="7" l="1"/>
</calcChain>
</file>

<file path=xl/sharedStrings.xml><?xml version="1.0" encoding="utf-8"?>
<sst xmlns="http://schemas.openxmlformats.org/spreadsheetml/2006/main" count="444" uniqueCount="346">
  <si>
    <t>Estimation en jours</t>
  </si>
  <si>
    <t>Etapes</t>
  </si>
  <si>
    <t>Tâches</t>
  </si>
  <si>
    <t>Préparation</t>
  </si>
  <si>
    <t>Prise en main</t>
  </si>
  <si>
    <t>Estimation</t>
  </si>
  <si>
    <t>Prise en main du projet</t>
  </si>
  <si>
    <t>Sprint 0</t>
  </si>
  <si>
    <t>Analyse et conception</t>
  </si>
  <si>
    <t>Installation environnements</t>
  </si>
  <si>
    <t xml:space="preserve">Apprentissage Nouvelles technologies </t>
  </si>
  <si>
    <t>Analyse du cahier des charges et des besoins</t>
  </si>
  <si>
    <t>Maquette</t>
  </si>
  <si>
    <t>Installation des environnements</t>
  </si>
  <si>
    <t>Étude et prise en main du projet</t>
  </si>
  <si>
    <t xml:space="preserve">Analyse des besoins de la Direction Stratégie </t>
  </si>
  <si>
    <t>Analyse des fonctionnalités et des parcours utilisateur</t>
  </si>
  <si>
    <t>Planification des fonctionnalités du module</t>
  </si>
  <si>
    <t>Conception du MCD / MLD</t>
  </si>
  <si>
    <t>Sous-total</t>
  </si>
  <si>
    <t>Conception de l'architecture Laravel / PostgreSQL / React</t>
  </si>
  <si>
    <t>Planification du projet et préparation de l'environnement</t>
  </si>
  <si>
    <t>Développement des compétences nécessaires</t>
  </si>
  <si>
    <t>Sous Total</t>
  </si>
  <si>
    <t>Sprint 1</t>
  </si>
  <si>
    <t>Socle technique et authentification</t>
  </si>
  <si>
    <t>Configuration du projet Laravel</t>
  </si>
  <si>
    <t>Configuration PostgreSQL et migrations</t>
  </si>
  <si>
    <t>Analyse, conception</t>
  </si>
  <si>
    <t>Mise en place de l'architecture API</t>
  </si>
  <si>
    <t>Design</t>
  </si>
  <si>
    <t>Authentification</t>
  </si>
  <si>
    <t>Création des pages</t>
  </si>
  <si>
    <t>Gestion des utilisateurs et rôles</t>
  </si>
  <si>
    <t>Intégration</t>
  </si>
  <si>
    <t>Réalisation</t>
  </si>
  <si>
    <t xml:space="preserve">Design </t>
  </si>
  <si>
    <t>Tests et debug</t>
  </si>
  <si>
    <t xml:space="preserve">Conception des maquettes </t>
  </si>
  <si>
    <t>Gestion utilisateur</t>
  </si>
  <si>
    <t>Sprint 2</t>
  </si>
  <si>
    <t>Gestion des offres d'emploi</t>
  </si>
  <si>
    <t>Modification des maquettes UI/UX</t>
  </si>
  <si>
    <t>Développement</t>
  </si>
  <si>
    <t>CRUD des offres</t>
  </si>
  <si>
    <t>Connexion</t>
  </si>
  <si>
    <t>Mise en place du site sur Wix</t>
  </si>
  <si>
    <t>Gestion des directions</t>
  </si>
  <si>
    <t xml:space="preserve">Modification et attente de validation </t>
  </si>
  <si>
    <t>Gestion rôles et permissions</t>
  </si>
  <si>
    <t>Gestion personnel</t>
  </si>
  <si>
    <t>Gestion du profil d'une offre</t>
  </si>
  <si>
    <t>Vérifications de performance et adaptabilité mobile</t>
  </si>
  <si>
    <t>Gestion d'utilisateur</t>
  </si>
  <si>
    <t>CRUD contrat</t>
  </si>
  <si>
    <t>Gestion des missions d'une offre</t>
  </si>
  <si>
    <t>CRUD direction</t>
  </si>
  <si>
    <t>Gestion des compétences requises</t>
  </si>
  <si>
    <t>CRUD personnel</t>
  </si>
  <si>
    <t>Gestion ressources</t>
  </si>
  <si>
    <t>Récupération des données utilisateurs dans AD ou GLPI</t>
  </si>
  <si>
    <t>CRUD ressources</t>
  </si>
  <si>
    <t>CRUD profil</t>
  </si>
  <si>
    <t>Publication et clôture des offres</t>
  </si>
  <si>
    <t>Connexion profil</t>
  </si>
  <si>
    <t>Gestion habilitation</t>
  </si>
  <si>
    <t xml:space="preserve">Développement de la gestion des contrôles qualité </t>
  </si>
  <si>
    <t>Génération du lien de candidature</t>
  </si>
  <si>
    <t>Gestion permission</t>
  </si>
  <si>
    <t>CRUD demande</t>
  </si>
  <si>
    <t>Acceptation/refus et validation</t>
  </si>
  <si>
    <t>Visualisation de profil</t>
  </si>
  <si>
    <t>CRUD habilitation</t>
  </si>
  <si>
    <t>0.5</t>
  </si>
  <si>
    <t>Historique demande</t>
  </si>
  <si>
    <t>Paramétrage</t>
  </si>
  <si>
    <t>Historique habilitation</t>
  </si>
  <si>
    <t>CRUD Type de Compte</t>
  </si>
  <si>
    <t>CRUD Utilisateurs</t>
  </si>
  <si>
    <t>Export fiche habilitation</t>
  </si>
  <si>
    <t>Suivi utilisateur</t>
  </si>
  <si>
    <t>Historique d'activités</t>
  </si>
  <si>
    <t>CRUD Demande</t>
  </si>
  <si>
    <t>Sprint 3</t>
  </si>
  <si>
    <t>CRUD pour les deux types de contrôles (supports &amp; mobiles)</t>
  </si>
  <si>
    <t>Réception et gestion des candidatures</t>
  </si>
  <si>
    <t>Recherche par période/action</t>
  </si>
  <si>
    <t xml:space="preserve">Création de différentes pages selon les types de contrôles </t>
  </si>
  <si>
    <t>CRUD Type de Demande</t>
  </si>
  <si>
    <t>Notification</t>
  </si>
  <si>
    <t>Réception/import des candidatures du site externe</t>
  </si>
  <si>
    <t>Champs spécifiques selon le type : numéro de bus, état de visibilité mobile, remarque, etc.</t>
  </si>
  <si>
    <t>CRUD Diagnostics</t>
  </si>
  <si>
    <t>Notification changement sur les habilitations</t>
  </si>
  <si>
    <t>Catalogage des problèmes rencontrés et solutions proposées</t>
  </si>
  <si>
    <t>Dépôt manuel d'une candidature par un RH</t>
  </si>
  <si>
    <t xml:space="preserve">Tests et modifications selon les besoins des fonctionnalités </t>
  </si>
  <si>
    <t>Mise en place du tableau de bord</t>
  </si>
  <si>
    <t>Gestion des candidatures sur offre</t>
  </si>
  <si>
    <t>Paramétrages</t>
  </si>
  <si>
    <t>Gestion des candidatures spontanées</t>
  </si>
  <si>
    <t>Gestion des Demandes</t>
  </si>
  <si>
    <t>Etat d'analyse et statistiques</t>
  </si>
  <si>
    <t>Recherche et dédoublonnage du candidat</t>
  </si>
  <si>
    <t>Tableau de bord</t>
  </si>
  <si>
    <t>Upload d'image dans l'ajout des tickets</t>
  </si>
  <si>
    <t>Upload et gestion des documents</t>
  </si>
  <si>
    <t>Tri et filtre</t>
  </si>
  <si>
    <t>Développement des graphiques/statistiques</t>
  </si>
  <si>
    <t>Diagnostic des demandes</t>
  </si>
  <si>
    <t>Création du statut initial et historique</t>
  </si>
  <si>
    <t>Configuration des filtres et vues analytiques</t>
  </si>
  <si>
    <t>Validation ou refus des tickets</t>
  </si>
  <si>
    <t>Mise en place des rapports analytiques personnalisés</t>
  </si>
  <si>
    <t>Configuration des droits d'accès</t>
  </si>
  <si>
    <t>Assignation avec délai du demande</t>
  </si>
  <si>
    <t>Accès complets à tous les utilisateurs internes d’Odoo</t>
  </si>
  <si>
    <t>Saisie de l'intervention avec durée</t>
  </si>
  <si>
    <t>Analyse de la structure du contenu</t>
  </si>
  <si>
    <t>Sprint 4</t>
  </si>
  <si>
    <t>Traitement RH et vivier</t>
  </si>
  <si>
    <t>Test</t>
  </si>
  <si>
    <t>Organisation du contenu pour une meilleure navigation</t>
  </si>
  <si>
    <t>Gestion des retours de satisfaction des utilisateurs avec clôture de la demande</t>
  </si>
  <si>
    <t>Vue générale des candidatures</t>
  </si>
  <si>
    <t>Test et corrections</t>
  </si>
  <si>
    <t>Livraison</t>
  </si>
  <si>
    <t>Recherche et filtres des candidatures</t>
  </si>
  <si>
    <t>Vue détaillé de chaque demande</t>
  </si>
  <si>
    <t>Navigation Direction → Offre → Candidats</t>
  </si>
  <si>
    <t>Déploiement</t>
  </si>
  <si>
    <t>Navigation Direction → Domaine → Candidatures spontanées</t>
  </si>
  <si>
    <t>Formation utilisateur</t>
  </si>
  <si>
    <t>Suivi des Demandes</t>
  </si>
  <si>
    <t>Fiche détaillée du candidat</t>
  </si>
  <si>
    <t>Generation de rapport sur les demandes en format PDF</t>
  </si>
  <si>
    <t>Gestion du changement de statut</t>
  </si>
  <si>
    <t>Tests</t>
  </si>
  <si>
    <t>Historique des statuts</t>
  </si>
  <si>
    <t>Filtrage par statut des demandes</t>
  </si>
  <si>
    <t>Gestion du vivier</t>
  </si>
  <si>
    <t>Recherche multicritere</t>
  </si>
  <si>
    <t>Tests et corrections</t>
  </si>
  <si>
    <t>Autres projets</t>
  </si>
  <si>
    <t>Recherche entre deux dates</t>
  </si>
  <si>
    <t>Formation de la Direction Stratégie</t>
  </si>
  <si>
    <t>Sprint 5</t>
  </si>
  <si>
    <t>OCR / NLP et gestion des compétences</t>
  </si>
  <si>
    <t>Etats d'analyse et statistiques</t>
  </si>
  <si>
    <t>Gestion de projet</t>
  </si>
  <si>
    <t>Corrections bugs application Tiwi</t>
  </si>
  <si>
    <t>Extraction du texte des documents</t>
  </si>
  <si>
    <t>Nombre de ticket par statut</t>
  </si>
  <si>
    <t>Assistance utilisateur (hard, soft)</t>
  </si>
  <si>
    <t>Suivi et coordination du projet</t>
  </si>
  <si>
    <t>Intégration OCR pour les CV/photos</t>
  </si>
  <si>
    <t xml:space="preserve">Autres projets </t>
  </si>
  <si>
    <t>Total des tickets</t>
  </si>
  <si>
    <t>Extraction NLP des compétences</t>
  </si>
  <si>
    <t>Extraction des langues</t>
  </si>
  <si>
    <t>Chart graphique</t>
  </si>
  <si>
    <t>Extraction des expériences professionnelles</t>
  </si>
  <si>
    <t>Suivi des tickets en retard</t>
  </si>
  <si>
    <t>Extraction des formations</t>
  </si>
  <si>
    <t xml:space="preserve">Simulations sur les supports </t>
  </si>
  <si>
    <t>Système de notification par e-mail</t>
  </si>
  <si>
    <t>Matching avec le référentiel des compétences</t>
  </si>
  <si>
    <t xml:space="preserve">Visite des sites de l'entreprise pour rendre un rapport qualité </t>
  </si>
  <si>
    <t>Écran de validation/correction RH</t>
  </si>
  <si>
    <t xml:space="preserve">Assistance en communication (interne et externe) </t>
  </si>
  <si>
    <t xml:space="preserve">Montages vidéos </t>
  </si>
  <si>
    <t>Sprint 6</t>
  </si>
  <si>
    <t>Rendez-vous et communication</t>
  </si>
  <si>
    <t>CRUD des rendez-vous</t>
  </si>
  <si>
    <t>Total</t>
  </si>
  <si>
    <t>Planification des tests et entretiens</t>
  </si>
  <si>
    <t>Gestion des responsables et modes de rendez-vous</t>
  </si>
  <si>
    <t>Vue agenda</t>
  </si>
  <si>
    <t>CRUD des modèles de messages</t>
  </si>
  <si>
    <t>Personnalisation des messages</t>
  </si>
  <si>
    <t>Envoi manuel et historique des communications</t>
  </si>
  <si>
    <t>Préparation de l'envoi automatique selon le statut</t>
  </si>
  <si>
    <t>Déploiement local et cloud</t>
  </si>
  <si>
    <t>Formation</t>
  </si>
  <si>
    <t>Rédaction manuel d'utilisation</t>
  </si>
  <si>
    <t>Sprint 7</t>
  </si>
  <si>
    <t>Matching, statistiques et finalisation</t>
  </si>
  <si>
    <t>Matching candidat ↔ offre</t>
  </si>
  <si>
    <t>Recherche avancée par compétences</t>
  </si>
  <si>
    <t>Tableau de bord de suivi</t>
  </si>
  <si>
    <t>KPI des candidatures et des offres</t>
  </si>
  <si>
    <t>Statistiques mensuelles</t>
  </si>
  <si>
    <t>Taux de transformation et délai de traitement</t>
  </si>
  <si>
    <t>Tests fonctionnels globaux</t>
  </si>
  <si>
    <t>Corrections et optimisation</t>
  </si>
  <si>
    <t>Documentation et préparation du déploiement</t>
  </si>
  <si>
    <t>Total Scope</t>
  </si>
  <si>
    <t>Analyse et Conception de projet</t>
  </si>
  <si>
    <t xml:space="preserve">apprentissage nouveau technologie </t>
  </si>
  <si>
    <t xml:space="preserve">SPRINT I </t>
  </si>
  <si>
    <t xml:space="preserve">Création de Base de données </t>
  </si>
  <si>
    <t>Apprentissage de Websocket</t>
  </si>
  <si>
    <t>SOUS TOTAL</t>
  </si>
  <si>
    <t>Apprentissage Nouvelles technologies</t>
  </si>
  <si>
    <t>Créations d'agent(code python et websocket) capable de collecter les informations de Ressources physique du Système</t>
  </si>
  <si>
    <t>installation des environnements</t>
  </si>
  <si>
    <t>Créations d'agent(code python et websocket) capable de collecter les informations de Network Système</t>
  </si>
  <si>
    <t>Création d'agent(code python et websocket) capable de collecter les informations des commandes taper sur le système</t>
  </si>
  <si>
    <t xml:space="preserve">SPRINT II </t>
  </si>
  <si>
    <t xml:space="preserve">Création de script sh linux pour automatiser les services des agents creer </t>
  </si>
  <si>
    <t>Projet</t>
  </si>
  <si>
    <t>Création vues form et list des modèles de bases</t>
  </si>
  <si>
    <t>chambres, hotel, service, activité</t>
  </si>
  <si>
    <t>PARTIE ADMINISTRATEUR(Front-end et Backend avec Intégration API)</t>
  </si>
  <si>
    <t>Type des chambres,  service, activité</t>
  </si>
  <si>
    <t>Création de Login et gestion de token admin</t>
  </si>
  <si>
    <t>Gestion des Réservation</t>
  </si>
  <si>
    <t>Licence</t>
  </si>
  <si>
    <t>Gestion de Serveur et Générations des cles specifiques pour chaque serveur pour la communication Websockets</t>
  </si>
  <si>
    <t xml:space="preserve">Création des réservations clients </t>
  </si>
  <si>
    <t xml:space="preserve">Gestion de compte Superviseur </t>
  </si>
  <si>
    <t>SPRINT III</t>
  </si>
  <si>
    <t>Gestion d'Affectation des serveurs  a plusieurs Superviseurs</t>
  </si>
  <si>
    <t>Annulation et Confirmation des réservations</t>
  </si>
  <si>
    <t>Payement anticipé ou en avance du réservation</t>
  </si>
  <si>
    <t>Entretien ménagé</t>
  </si>
  <si>
    <t>ETU001999</t>
  </si>
  <si>
    <t>ETU002000</t>
  </si>
  <si>
    <t>Création des formulaires de gestion du ménage et planning du ménage</t>
  </si>
  <si>
    <t>Intégration avec la réservation pour les états des chambres (libre/occupée)</t>
  </si>
  <si>
    <t>Folio (compte client pendant son séjour)</t>
  </si>
  <si>
    <t>Intégration avec le module de réservation pour la génération automatique de folios</t>
  </si>
  <si>
    <t xml:space="preserve">Gestion des activités du client </t>
  </si>
  <si>
    <t>Gestion des services</t>
  </si>
  <si>
    <t>PARTIE SUPERVISEUR(Front-end et Backend avec Intégration API)</t>
  </si>
  <si>
    <t>Création de Login et gestion de token superviseur</t>
  </si>
  <si>
    <t>Facturation et Payment du Folio</t>
  </si>
  <si>
    <t>John</t>
  </si>
  <si>
    <t>SPRINT IV</t>
  </si>
  <si>
    <t>Visualisation en temps réels des consommations de Ressources Systeme de chaque Serveur cible par l'agent</t>
  </si>
  <si>
    <t>Gestion de liste des prix</t>
  </si>
  <si>
    <t>Jane</t>
  </si>
  <si>
    <t>Visualisation en  temps réels des consommations de Reseau de chaque serveur cible par l'agent</t>
  </si>
  <si>
    <t>Ajouter une liste des prix pour la réservation</t>
  </si>
  <si>
    <t>Consultations des historiques de commandes taper par l'utilisateur pour chaque serveur cible</t>
  </si>
  <si>
    <t>Gestion de transport</t>
  </si>
  <si>
    <t>Création des view nécessaires</t>
  </si>
  <si>
    <t>installation des environnements serveurs</t>
  </si>
  <si>
    <t>Gérer les transferts des clients vers l'hotel</t>
  </si>
  <si>
    <t>Planning de transport</t>
  </si>
  <si>
    <t>OTA</t>
  </si>
  <si>
    <t>Intégration avec les plateformes de réservation en ligne : Booking</t>
  </si>
  <si>
    <t>PARTIE ADMINISTRATEUR ET PARTIE SUPERVISEUR(front-end et Backend avec Intégration API)</t>
  </si>
  <si>
    <t>POS (Point de vente)</t>
  </si>
  <si>
    <t>Automatisation d'intégration de clés serveur dans chaque agent et lien de téléchargement d'agent(administrateur)</t>
  </si>
  <si>
    <t>Mise en place de configuration de seuil pour chaque serveur (seuil de ressource)</t>
  </si>
  <si>
    <t>Mise en place du POS pour la liaison au folio du client</t>
  </si>
  <si>
    <t xml:space="preserve">SPRINT V </t>
  </si>
  <si>
    <t>Mise en place de Représentation graphique de load average cpu et ram en temps réels pour chaque Serveur</t>
  </si>
  <si>
    <t>Mise en place de Représentation graphique de consommations de Réseau pour chaque Serveur</t>
  </si>
  <si>
    <t xml:space="preserve">Créations des views nécessaires </t>
  </si>
  <si>
    <t>Dashboard view</t>
  </si>
  <si>
    <t>Création d'un tableau de bord pour visualiser l'activité de l'hôtel</t>
  </si>
  <si>
    <t>Affichage de l'état des chambres (disponibiliité) en temps réels sur dashboard</t>
  </si>
  <si>
    <t xml:space="preserve">Possibilité de d'accéder aux fonctionnalités (comme réservration, housekeeping, ...) depuis le dashboard </t>
  </si>
  <si>
    <t>Statistique</t>
  </si>
  <si>
    <t>Diagramme des revenus par mois par ans</t>
  </si>
  <si>
    <t>Taux de réservation par type de chambre et diagramme</t>
  </si>
  <si>
    <t>PARTIE SUPERVISEUR ET ADMINISTRATEUR(Front-end et backend avec API)</t>
  </si>
  <si>
    <t>Durée moyenne de séjour et diagramme</t>
  </si>
  <si>
    <t>Alerte en temps réels en cas de dépassement de seuil poser par l'administrateur(Superviseur)</t>
  </si>
  <si>
    <t>SPRINT VI</t>
  </si>
  <si>
    <t>Notifications en temps réels pour voir tous les alertes en cas de dépassement de seuil(Superviseur)</t>
  </si>
  <si>
    <t>Taux d'occupation, Taux d'annulation et diagramme</t>
  </si>
  <si>
    <t>Optimisation de Backend pour la performance websocket</t>
  </si>
  <si>
    <t>Site Web pour l'application</t>
  </si>
  <si>
    <t>Optimisation Front-end pour le soin de design</t>
  </si>
  <si>
    <t>Fonctionnalité de Filtre pour tous les pages</t>
  </si>
  <si>
    <t>Possibilité de faire une réservation</t>
  </si>
  <si>
    <t>Consulter les comptes clients en temps réels</t>
  </si>
  <si>
    <t>Demande de confirmation du Folio</t>
  </si>
  <si>
    <t>Prévision hotelière (Prévision d'occupation des mois à venir)</t>
  </si>
  <si>
    <t>SOMME TOTAL</t>
  </si>
  <si>
    <t>Mis en place des variables de predictions</t>
  </si>
  <si>
    <t xml:space="preserve">Creation de modeles </t>
  </si>
  <si>
    <t>SUBTOTAL du projet</t>
  </si>
  <si>
    <t>Import données</t>
  </si>
  <si>
    <t>Employé</t>
  </si>
  <si>
    <t>Type de raphia</t>
  </si>
  <si>
    <t>Assistance</t>
  </si>
  <si>
    <t>TOTAL</t>
  </si>
  <si>
    <t>Localisation/Producteur/Parcelle</t>
  </si>
  <si>
    <t>Type de travail</t>
  </si>
  <si>
    <t>Preparation magasin Raphia</t>
  </si>
  <si>
    <t>scan badge</t>
  </si>
  <si>
    <t xml:space="preserve">Interface avec validation </t>
  </si>
  <si>
    <t>Bouton annulation</t>
  </si>
  <si>
    <t>Date et heure automatique au moment de la validation</t>
  </si>
  <si>
    <t>Metier</t>
  </si>
  <si>
    <r>
      <rPr>
        <sz val="10"/>
        <color rgb="FF222222"/>
        <rFont val="Arial"/>
      </rPr>
      <t xml:space="preserve">Integration </t>
    </r>
    <r>
      <rPr>
        <sz val="10"/>
        <color rgb="FF222222"/>
        <rFont val="Arial"/>
      </rPr>
      <t>poids</t>
    </r>
  </si>
  <si>
    <r>
      <rPr>
        <sz val="10"/>
        <color rgb="FF222222"/>
        <rFont val="Arial"/>
      </rPr>
      <t xml:space="preserve">Generer code barre </t>
    </r>
    <r>
      <rPr>
        <sz val="10"/>
        <color rgb="FF222222"/>
        <rFont val="Arial"/>
      </rPr>
      <t>numéro unique</t>
    </r>
  </si>
  <si>
    <t>Historique (recherche filtré)</t>
  </si>
  <si>
    <t>Distribution vers crocheteurs</t>
  </si>
  <si>
    <r>
      <rPr>
        <sz val="10"/>
        <color rgb="FF222222"/>
        <rFont val="Arial"/>
      </rPr>
      <t xml:space="preserve">Scan barcode </t>
    </r>
    <r>
      <rPr>
        <sz val="10"/>
        <color rgb="FF222222"/>
        <rFont val="Arial"/>
      </rPr>
      <t>numéro unique</t>
    </r>
  </si>
  <si>
    <t>Intégration plusieurs numéros uniques</t>
  </si>
  <si>
    <t>Scan type de travail</t>
  </si>
  <si>
    <t>Scan ticket SEAM (code barre)</t>
  </si>
  <si>
    <t>Rajout numéro unique même si la première distribution a été déjà faite</t>
  </si>
  <si>
    <t>scan badge crocheteur</t>
  </si>
  <si>
    <t>Interface avec validation (controle de valeur)</t>
  </si>
  <si>
    <t>Integration</t>
  </si>
  <si>
    <t>Controle bout de table</t>
  </si>
  <si>
    <t>Bouton spécifiant pièce irrécupérable et stockage dans le système</t>
  </si>
  <si>
    <t>Bouton spécifiant qu'un n° unique est irrécupérable et sera rejeté dans les en-cours
Nécessité de nouvelle distribution après</t>
  </si>
  <si>
    <r>
      <rPr>
        <sz val="10"/>
        <color rgb="FF222222"/>
        <rFont val="Arial"/>
      </rPr>
      <t xml:space="preserve">Generer QrCode pour avoir les donnees du produits : 
</t>
    </r>
    <r>
      <rPr>
        <sz val="10"/>
        <color rgb="FF222222"/>
        <rFont val="Arial"/>
      </rPr>
      <t>- tous les n°unique
- toutes les provenances
- qui a fait le crochetage</t>
    </r>
  </si>
  <si>
    <t>Impression QrCode</t>
  </si>
  <si>
    <t>Possibilité impression QrCode ultérieurement</t>
  </si>
  <si>
    <t>Système de cache et optimisation</t>
  </si>
  <si>
    <t>Cache au niveau des postes clients</t>
  </si>
  <si>
    <t>Cache sur le serveur local</t>
  </si>
  <si>
    <t>Reprise apres coupure et indempotence des données</t>
  </si>
  <si>
    <t>Compression et optimisation des données</t>
  </si>
  <si>
    <t>Etats d'analyse et statistiques (admin)</t>
  </si>
  <si>
    <t>Quantité de raphia préparée par période (jour, semaine, mois).</t>
  </si>
  <si>
    <r>
      <rPr>
        <sz val="10"/>
        <color theme="1"/>
        <rFont val="Arial"/>
      </rPr>
      <t xml:space="preserve">Poids moyen </t>
    </r>
    <r>
      <rPr>
        <sz val="10"/>
        <color theme="1"/>
        <rFont val="Arial"/>
      </rPr>
      <t>préparé par trieur par période</t>
    </r>
  </si>
  <si>
    <t>Distribution de la production par localisation/producteur/parcelle.</t>
  </si>
  <si>
    <t>Identifier le type de raphia le plus utilisé.</t>
  </si>
  <si>
    <t>Poids total distribué par période.</t>
  </si>
  <si>
    <t>Répartition des travaux par type de raphia et crocheteur/travail.</t>
  </si>
  <si>
    <t>Suivi des crocheteurs (performance en termes de durée de travail).</t>
  </si>
  <si>
    <t>Temps entre préparation et distribution pour l'analyse de l'efficacité logistique.</t>
  </si>
  <si>
    <t>Taux de pièces irrécupérables par crocheteur, type de raphia, ou travail.</t>
  </si>
  <si>
    <r>
      <rPr>
        <sz val="10"/>
        <color theme="1"/>
        <rFont val="Arial"/>
      </rPr>
      <t xml:space="preserve">Temps entre </t>
    </r>
    <r>
      <rPr>
        <sz val="10"/>
        <color theme="1"/>
        <rFont val="Arial"/>
      </rPr>
      <t>distribution et contrôle bout de table</t>
    </r>
  </si>
  <si>
    <t>Nombre de pièces contrôlées par contrôleur.</t>
  </si>
  <si>
    <r>
      <rPr>
        <sz val="10"/>
        <color theme="1"/>
        <rFont val="Arial"/>
      </rPr>
      <t>KPI général par chaque intervenant</t>
    </r>
    <r>
      <rPr>
        <sz val="10"/>
        <color theme="1"/>
        <rFont val="Arial"/>
      </rPr>
      <t xml:space="preserve"> (trieurs, crocheteurs, contrôleurs) via des indicateurs, par période</t>
    </r>
  </si>
  <si>
    <t>Situation des en-cours en production en fonction des distribués et non contrôlés finaux avec les noms de crocheteuses et les numéros uniques + le type de travail</t>
  </si>
  <si>
    <t>Tests unitaires</t>
  </si>
  <si>
    <t>tests unitaires pour les fonctionnalités de collecte de données.</t>
  </si>
  <si>
    <t>Valider la génération des statistiques (exemple : vérifier les calculs et la cohérence des données).</t>
  </si>
  <si>
    <t>Tester la performance et la fiabilité de l'application (en particulier en cas de coupures réseau).</t>
  </si>
  <si>
    <t>Déploiement local</t>
  </si>
  <si>
    <t>Correction bugs sur l'application GRH</t>
  </si>
  <si>
    <t>Assistance sur site</t>
  </si>
  <si>
    <t>Déploiement application Odoo</t>
  </si>
  <si>
    <t>Personnalisation module Odoo</t>
  </si>
  <si>
    <t>ESTIMATION DE STAGE ETU003346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</si>
</sst>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4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Arial"/>
    </font>
    <font>
      <b/>
      <sz val="11"/>
      <color theme="1"/>
      <name val="Arial"/>
    </font>
    <font>
      <b/>
      <sz val="12"/>
      <color theme="1"/>
      <name val="Calibri"/>
    </font>
    <font>
      <b/>
      <sz val="18"/>
      <color rgb="FFFF0000"/>
      <name val="Arial"/>
    </font>
    <font>
      <b/>
      <sz val="10"/>
      <color theme="1"/>
      <name val="Arial"/>
    </font>
    <font>
      <b/>
      <sz val="16"/>
      <color theme="1"/>
      <name val="Calibri"/>
    </font>
    <font>
      <b/>
      <sz val="10"/>
      <color rgb="FFCC0000"/>
      <name val="Arial"/>
    </font>
    <font>
      <b/>
      <sz val="11"/>
      <color rgb="FF990000"/>
      <name val="Calibri"/>
    </font>
    <font>
      <sz val="10"/>
      <color rgb="FF222222"/>
      <name val="Arial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rgb="FF92D050"/>
        <bgColor rgb="FFB6D7A8"/>
      </patternFill>
    </fill>
    <fill>
      <patternFill patternType="solid">
        <fgColor rgb="FF92D050"/>
        <bgColor rgb="FFF4CCCC"/>
      </patternFill>
    </fill>
    <fill>
      <patternFill patternType="solid">
        <fgColor rgb="FF92D050"/>
        <bgColor rgb="FFEFEFE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4CCCC"/>
      </patternFill>
    </fill>
    <fill>
      <patternFill patternType="solid">
        <fgColor theme="4" tint="0.39997558519241921"/>
        <bgColor rgb="FF9FC5E8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B6D7A8"/>
      </patternFill>
    </fill>
    <fill>
      <patternFill patternType="solid">
        <fgColor theme="5" tint="0.59999389629810485"/>
        <bgColor rgb="FF9FC5E8"/>
      </patternFill>
    </fill>
    <fill>
      <patternFill patternType="solid">
        <fgColor theme="5" tint="0.59999389629810485"/>
        <bgColor rgb="FFF4CCCC"/>
      </patternFill>
    </fill>
    <fill>
      <patternFill patternType="solid">
        <fgColor theme="5" tint="0.59999389629810485"/>
        <bgColor rgb="FFCCCCC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4" borderId="1" xfId="0" applyFont="1" applyFill="1" applyBorder="1"/>
    <xf numFmtId="0" fontId="8" fillId="0" borderId="1" xfId="0" applyFont="1" applyBorder="1"/>
    <xf numFmtId="0" fontId="7" fillId="4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11" fillId="0" borderId="1" xfId="0" applyFont="1" applyBorder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6" borderId="1" xfId="0" applyFont="1" applyFill="1" applyBorder="1"/>
    <xf numFmtId="0" fontId="1" fillId="7" borderId="1" xfId="0" applyFont="1" applyFill="1" applyBorder="1"/>
    <xf numFmtId="0" fontId="3" fillId="8" borderId="0" xfId="0" applyFont="1" applyFill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7" fillId="0" borderId="0" xfId="0" applyFont="1"/>
    <xf numFmtId="0" fontId="1" fillId="0" borderId="12" xfId="0" applyFont="1" applyBorder="1" applyAlignment="1">
      <alignment horizontal="right"/>
    </xf>
    <xf numFmtId="0" fontId="12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9" borderId="0" xfId="0" applyFont="1" applyFill="1"/>
    <xf numFmtId="0" fontId="1" fillId="3" borderId="1" xfId="0" applyFont="1" applyFill="1" applyBorder="1" applyAlignment="1">
      <alignment horizontal="center" wrapText="1"/>
    </xf>
    <xf numFmtId="0" fontId="3" fillId="8" borderId="0" xfId="0" applyFont="1" applyFill="1"/>
    <xf numFmtId="0" fontId="3" fillId="0" borderId="0" xfId="0" applyFont="1" applyAlignment="1">
      <alignment horizontal="right"/>
    </xf>
    <xf numFmtId="4" fontId="1" fillId="3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11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wrapText="1"/>
    </xf>
    <xf numFmtId="164" fontId="3" fillId="0" borderId="1" xfId="0" applyNumberFormat="1" applyFont="1" applyBorder="1"/>
    <xf numFmtId="0" fontId="1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" fillId="7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13" fillId="4" borderId="1" xfId="0" applyFont="1" applyFill="1" applyBorder="1" applyAlignment="1">
      <alignment horizontal="right"/>
    </xf>
    <xf numFmtId="4" fontId="3" fillId="0" borderId="1" xfId="0" applyNumberFormat="1" applyFont="1" applyBorder="1"/>
    <xf numFmtId="0" fontId="1" fillId="10" borderId="1" xfId="0" applyFont="1" applyFill="1" applyBorder="1" applyAlignment="1">
      <alignment wrapText="1"/>
    </xf>
    <xf numFmtId="4" fontId="1" fillId="10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" fillId="4" borderId="1" xfId="0" applyFont="1" applyFill="1" applyBorder="1"/>
    <xf numFmtId="4" fontId="16" fillId="0" borderId="1" xfId="0" applyNumberFormat="1" applyFont="1" applyBorder="1" applyAlignment="1">
      <alignment horizontal="center"/>
    </xf>
    <xf numFmtId="0" fontId="17" fillId="4" borderId="1" xfId="0" applyFont="1" applyFill="1" applyBorder="1"/>
    <xf numFmtId="0" fontId="17" fillId="4" borderId="16" xfId="0" applyFont="1" applyFill="1" applyBorder="1"/>
    <xf numFmtId="0" fontId="17" fillId="4" borderId="17" xfId="0" applyFont="1" applyFill="1" applyBorder="1"/>
    <xf numFmtId="0" fontId="17" fillId="4" borderId="1" xfId="0" applyFont="1" applyFill="1" applyBorder="1" applyAlignment="1">
      <alignment wrapText="1"/>
    </xf>
    <xf numFmtId="0" fontId="17" fillId="4" borderId="17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7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" fillId="0" borderId="5" xfId="0" applyFont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0" fillId="0" borderId="0" xfId="0"/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3" fillId="0" borderId="2" xfId="0" applyFont="1" applyBorder="1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9" xfId="0" applyFont="1" applyBorder="1"/>
    <xf numFmtId="0" fontId="4" fillId="0" borderId="12" xfId="0" applyFont="1" applyBorder="1"/>
    <xf numFmtId="0" fontId="13" fillId="0" borderId="5" xfId="0" applyFont="1" applyBorder="1" applyAlignment="1">
      <alignment horizontal="left" vertical="center"/>
    </xf>
    <xf numFmtId="0" fontId="14" fillId="7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5" xfId="0" applyFont="1" applyBorder="1"/>
    <xf numFmtId="0" fontId="20" fillId="0" borderId="0" xfId="0" applyFont="1" applyAlignment="1">
      <alignment horizontal="center"/>
    </xf>
    <xf numFmtId="0" fontId="3" fillId="11" borderId="0" xfId="0" applyFont="1" applyFill="1"/>
    <xf numFmtId="0" fontId="6" fillId="12" borderId="0" xfId="0" applyFont="1" applyFill="1" applyAlignment="1">
      <alignment horizontal="right"/>
    </xf>
    <xf numFmtId="0" fontId="9" fillId="13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21" fillId="0" borderId="0" xfId="0" applyFont="1"/>
    <xf numFmtId="0" fontId="22" fillId="0" borderId="0" xfId="0" applyFont="1"/>
    <xf numFmtId="0" fontId="9" fillId="0" borderId="0" xfId="0" applyFont="1" applyFill="1" applyAlignment="1">
      <alignment horizontal="center"/>
    </xf>
    <xf numFmtId="0" fontId="6" fillId="18" borderId="0" xfId="0" applyFont="1" applyFill="1"/>
    <xf numFmtId="0" fontId="10" fillId="18" borderId="0" xfId="0" applyFont="1" applyFill="1" applyAlignment="1">
      <alignment horizontal="center"/>
    </xf>
    <xf numFmtId="0" fontId="6" fillId="19" borderId="0" xfId="0" applyFont="1" applyFill="1"/>
    <xf numFmtId="0" fontId="3" fillId="20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19" borderId="0" xfId="0" applyFont="1" applyFill="1"/>
    <xf numFmtId="0" fontId="10" fillId="12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6" fillId="23" borderId="0" xfId="0" applyFont="1" applyFill="1"/>
    <xf numFmtId="0" fontId="3" fillId="23" borderId="0" xfId="0" applyFont="1" applyFill="1" applyAlignment="1">
      <alignment horizontal="center"/>
    </xf>
    <xf numFmtId="0" fontId="9" fillId="24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10" fillId="27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17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6" fillId="23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11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0" fontId="1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2.5703125" defaultRowHeight="15" customHeight="1" x14ac:dyDescent="0.2"/>
  <cols>
    <col min="1" max="3" width="12.5703125" customWidth="1"/>
    <col min="4" max="4" width="74.28515625" customWidth="1"/>
    <col min="5" max="5" width="15.5703125" customWidth="1"/>
    <col min="6" max="6" width="12.5703125" customWidth="1"/>
  </cols>
  <sheetData>
    <row r="1" spans="1:5" ht="15.75" customHeight="1" x14ac:dyDescent="0.25">
      <c r="A1" s="83" t="s">
        <v>0</v>
      </c>
      <c r="B1" s="77"/>
      <c r="C1" s="3"/>
      <c r="D1" s="3"/>
      <c r="E1" s="3"/>
    </row>
    <row r="2" spans="1:5" ht="15.75" customHeight="1" x14ac:dyDescent="0.25">
      <c r="A2" s="82"/>
      <c r="B2" s="71"/>
      <c r="C2" s="72"/>
      <c r="D2" s="6" t="s">
        <v>2</v>
      </c>
      <c r="E2" s="6" t="s">
        <v>0</v>
      </c>
    </row>
    <row r="3" spans="1:5" ht="15.75" customHeight="1" x14ac:dyDescent="0.25">
      <c r="A3" s="73" t="s">
        <v>3</v>
      </c>
      <c r="B3" s="74"/>
      <c r="C3" s="75"/>
      <c r="D3" s="10" t="s">
        <v>6</v>
      </c>
      <c r="E3" s="12">
        <v>1</v>
      </c>
    </row>
    <row r="4" spans="1:5" ht="15.75" customHeight="1" x14ac:dyDescent="0.25">
      <c r="A4" s="76"/>
      <c r="B4" s="77"/>
      <c r="C4" s="78"/>
      <c r="D4" s="10" t="s">
        <v>10</v>
      </c>
      <c r="E4" s="15">
        <v>4</v>
      </c>
    </row>
    <row r="5" spans="1:5" ht="15.75" customHeight="1" x14ac:dyDescent="0.25">
      <c r="A5" s="76"/>
      <c r="B5" s="77"/>
      <c r="C5" s="78"/>
      <c r="D5" s="10" t="s">
        <v>13</v>
      </c>
      <c r="E5" s="12">
        <v>3</v>
      </c>
    </row>
    <row r="6" spans="1:5" ht="15.75" customHeight="1" x14ac:dyDescent="0.25">
      <c r="A6" s="76"/>
      <c r="B6" s="77"/>
      <c r="C6" s="78"/>
      <c r="D6" s="10" t="s">
        <v>15</v>
      </c>
      <c r="E6" s="12">
        <v>2</v>
      </c>
    </row>
    <row r="7" spans="1:5" ht="15.75" customHeight="1" x14ac:dyDescent="0.25">
      <c r="A7" s="76"/>
      <c r="B7" s="77"/>
      <c r="C7" s="78"/>
      <c r="D7" s="17" t="s">
        <v>17</v>
      </c>
      <c r="E7" s="12">
        <v>2</v>
      </c>
    </row>
    <row r="8" spans="1:5" ht="15.75" customHeight="1" x14ac:dyDescent="0.25">
      <c r="A8" s="79"/>
      <c r="B8" s="80"/>
      <c r="C8" s="81"/>
      <c r="D8" s="20" t="s">
        <v>23</v>
      </c>
      <c r="E8" s="18">
        <f>SUM(E3:E7)</f>
        <v>12</v>
      </c>
    </row>
    <row r="9" spans="1:5" ht="15.75" customHeight="1" x14ac:dyDescent="0.25">
      <c r="A9" s="73" t="s">
        <v>36</v>
      </c>
      <c r="B9" s="74"/>
      <c r="C9" s="75"/>
      <c r="D9" s="10" t="s">
        <v>38</v>
      </c>
      <c r="E9" s="12">
        <v>4</v>
      </c>
    </row>
    <row r="10" spans="1:5" ht="15.75" customHeight="1" x14ac:dyDescent="0.25">
      <c r="A10" s="76"/>
      <c r="B10" s="77"/>
      <c r="C10" s="78"/>
      <c r="D10" s="17" t="s">
        <v>42</v>
      </c>
      <c r="E10" s="12">
        <v>3</v>
      </c>
    </row>
    <row r="11" spans="1:5" ht="15.75" customHeight="1" x14ac:dyDescent="0.25">
      <c r="A11" s="76"/>
      <c r="B11" s="77"/>
      <c r="C11" s="78"/>
      <c r="D11" s="10" t="s">
        <v>46</v>
      </c>
      <c r="E11" s="12">
        <v>2</v>
      </c>
    </row>
    <row r="12" spans="1:5" ht="15.75" customHeight="1" x14ac:dyDescent="0.25">
      <c r="A12" s="76"/>
      <c r="B12" s="77"/>
      <c r="C12" s="78"/>
      <c r="D12" s="10" t="s">
        <v>48</v>
      </c>
      <c r="E12" s="18">
        <v>3</v>
      </c>
    </row>
    <row r="13" spans="1:5" ht="15.75" customHeight="1" x14ac:dyDescent="0.25">
      <c r="A13" s="76"/>
      <c r="B13" s="77"/>
      <c r="C13" s="78"/>
      <c r="D13" s="10" t="s">
        <v>52</v>
      </c>
      <c r="E13" s="18">
        <v>3</v>
      </c>
    </row>
    <row r="14" spans="1:5" ht="15.75" customHeight="1" x14ac:dyDescent="0.25">
      <c r="A14" s="79"/>
      <c r="B14" s="80"/>
      <c r="C14" s="81"/>
      <c r="D14" s="20" t="s">
        <v>23</v>
      </c>
      <c r="E14" s="18">
        <f>SUM(E9:E13)</f>
        <v>15</v>
      </c>
    </row>
    <row r="15" spans="1:5" ht="15.75" customHeight="1" x14ac:dyDescent="0.25">
      <c r="A15" s="73" t="s">
        <v>43</v>
      </c>
      <c r="B15" s="74"/>
      <c r="C15" s="75"/>
      <c r="D15" s="16" t="s">
        <v>66</v>
      </c>
      <c r="E15" s="18">
        <f>SUM(E16:E20)</f>
        <v>12</v>
      </c>
    </row>
    <row r="16" spans="1:5" ht="15.75" customHeight="1" x14ac:dyDescent="0.25">
      <c r="A16" s="76"/>
      <c r="B16" s="77"/>
      <c r="C16" s="78"/>
      <c r="D16" s="17" t="s">
        <v>84</v>
      </c>
      <c r="E16" s="12">
        <v>4</v>
      </c>
    </row>
    <row r="17" spans="1:5" ht="15.75" customHeight="1" x14ac:dyDescent="0.25">
      <c r="A17" s="76"/>
      <c r="B17" s="77"/>
      <c r="C17" s="78"/>
      <c r="D17" s="17" t="s">
        <v>87</v>
      </c>
      <c r="E17" s="12">
        <v>2</v>
      </c>
    </row>
    <row r="18" spans="1:5" ht="15.75" customHeight="1" x14ac:dyDescent="0.25">
      <c r="A18" s="76"/>
      <c r="B18" s="77"/>
      <c r="C18" s="78"/>
      <c r="D18" s="17" t="s">
        <v>91</v>
      </c>
      <c r="E18" s="12">
        <v>2</v>
      </c>
    </row>
    <row r="19" spans="1:5" ht="15.75" customHeight="1" x14ac:dyDescent="0.25">
      <c r="A19" s="76"/>
      <c r="B19" s="77"/>
      <c r="C19" s="78"/>
      <c r="D19" s="17" t="s">
        <v>94</v>
      </c>
      <c r="E19" s="12">
        <v>1</v>
      </c>
    </row>
    <row r="20" spans="1:5" ht="15.75" customHeight="1" x14ac:dyDescent="0.25">
      <c r="A20" s="76"/>
      <c r="B20" s="77"/>
      <c r="C20" s="78"/>
      <c r="D20" s="17" t="s">
        <v>96</v>
      </c>
      <c r="E20" s="12">
        <v>3</v>
      </c>
    </row>
    <row r="21" spans="1:5" ht="15.75" customHeight="1" x14ac:dyDescent="0.25">
      <c r="A21" s="76"/>
      <c r="B21" s="77"/>
      <c r="C21" s="78"/>
      <c r="D21" s="27" t="s">
        <v>97</v>
      </c>
      <c r="E21" s="18">
        <f>SUM(E22:E24)</f>
        <v>4</v>
      </c>
    </row>
    <row r="22" spans="1:5" ht="15.75" customHeight="1" x14ac:dyDescent="0.25">
      <c r="A22" s="76"/>
      <c r="B22" s="77"/>
      <c r="C22" s="78"/>
      <c r="D22" s="17" t="s">
        <v>108</v>
      </c>
      <c r="E22" s="12">
        <v>2</v>
      </c>
    </row>
    <row r="23" spans="1:5" ht="15.75" customHeight="1" x14ac:dyDescent="0.25">
      <c r="A23" s="76"/>
      <c r="B23" s="77"/>
      <c r="C23" s="78"/>
      <c r="D23" s="17" t="s">
        <v>111</v>
      </c>
      <c r="E23" s="12">
        <v>1</v>
      </c>
    </row>
    <row r="24" spans="1:5" ht="15.75" customHeight="1" x14ac:dyDescent="0.25">
      <c r="A24" s="76"/>
      <c r="B24" s="77"/>
      <c r="C24" s="78"/>
      <c r="D24" s="17" t="s">
        <v>113</v>
      </c>
      <c r="E24" s="12">
        <v>1</v>
      </c>
    </row>
    <row r="25" spans="1:5" ht="15.75" customHeight="1" x14ac:dyDescent="0.25">
      <c r="A25" s="76"/>
      <c r="B25" s="77"/>
      <c r="C25" s="78"/>
      <c r="D25" s="27" t="s">
        <v>114</v>
      </c>
      <c r="E25" s="18">
        <v>0.5</v>
      </c>
    </row>
    <row r="26" spans="1:5" ht="15.75" customHeight="1" x14ac:dyDescent="0.25">
      <c r="A26" s="76"/>
      <c r="B26" s="77"/>
      <c r="C26" s="78"/>
      <c r="D26" s="17" t="s">
        <v>116</v>
      </c>
      <c r="E26" s="21"/>
    </row>
    <row r="27" spans="1:5" ht="15.75" customHeight="1" x14ac:dyDescent="0.25">
      <c r="A27" s="76"/>
      <c r="B27" s="77"/>
      <c r="C27" s="78"/>
      <c r="D27" s="27" t="s">
        <v>118</v>
      </c>
      <c r="E27" s="18">
        <v>1</v>
      </c>
    </row>
    <row r="28" spans="1:5" ht="15.75" customHeight="1" x14ac:dyDescent="0.25">
      <c r="A28" s="76"/>
      <c r="B28" s="77"/>
      <c r="C28" s="78"/>
      <c r="D28" s="27" t="s">
        <v>122</v>
      </c>
      <c r="E28" s="18">
        <v>2</v>
      </c>
    </row>
    <row r="29" spans="1:5" ht="15.75" customHeight="1" x14ac:dyDescent="0.25">
      <c r="A29" s="79"/>
      <c r="B29" s="80"/>
      <c r="C29" s="81"/>
      <c r="D29" s="20" t="s">
        <v>23</v>
      </c>
      <c r="E29" s="18">
        <f>SUM(E15+E21+E25+E27+E28)</f>
        <v>19.5</v>
      </c>
    </row>
    <row r="30" spans="1:5" ht="15.75" customHeight="1" x14ac:dyDescent="0.25">
      <c r="A30" s="70" t="s">
        <v>137</v>
      </c>
      <c r="B30" s="71"/>
      <c r="C30" s="72"/>
      <c r="D30" s="10" t="s">
        <v>142</v>
      </c>
      <c r="E30" s="12">
        <v>2</v>
      </c>
    </row>
    <row r="31" spans="1:5" ht="15.75" customHeight="1" x14ac:dyDescent="0.25">
      <c r="A31" s="84"/>
      <c r="B31" s="71"/>
      <c r="C31" s="72"/>
      <c r="D31" s="10" t="s">
        <v>145</v>
      </c>
      <c r="E31" s="12">
        <v>1.5</v>
      </c>
    </row>
    <row r="32" spans="1:5" ht="15.75" customHeight="1" x14ac:dyDescent="0.25">
      <c r="A32" s="70" t="s">
        <v>149</v>
      </c>
      <c r="B32" s="71"/>
      <c r="C32" s="72"/>
      <c r="D32" s="10" t="s">
        <v>154</v>
      </c>
      <c r="E32" s="12">
        <v>2</v>
      </c>
    </row>
    <row r="33" spans="1:5" ht="15.75" customHeight="1" x14ac:dyDescent="0.25">
      <c r="A33" s="73" t="s">
        <v>156</v>
      </c>
      <c r="B33" s="74"/>
      <c r="C33" s="75"/>
      <c r="D33" s="20" t="s">
        <v>23</v>
      </c>
      <c r="E33" s="18">
        <f>SUM(E34:E37)</f>
        <v>13</v>
      </c>
    </row>
    <row r="34" spans="1:5" ht="15.75" customHeight="1" x14ac:dyDescent="0.25">
      <c r="A34" s="76"/>
      <c r="B34" s="77"/>
      <c r="C34" s="78"/>
      <c r="D34" s="10" t="s">
        <v>164</v>
      </c>
      <c r="E34" s="12">
        <v>2</v>
      </c>
    </row>
    <row r="35" spans="1:5" ht="15.75" customHeight="1" x14ac:dyDescent="0.25">
      <c r="A35" s="76"/>
      <c r="B35" s="77"/>
      <c r="C35" s="78"/>
      <c r="D35" s="10" t="s">
        <v>167</v>
      </c>
      <c r="E35" s="12">
        <v>2</v>
      </c>
    </row>
    <row r="36" spans="1:5" ht="15.75" customHeight="1" x14ac:dyDescent="0.25">
      <c r="A36" s="76"/>
      <c r="B36" s="77"/>
      <c r="C36" s="78"/>
      <c r="D36" s="10" t="s">
        <v>169</v>
      </c>
      <c r="E36" s="12">
        <v>6</v>
      </c>
    </row>
    <row r="37" spans="1:5" ht="15.75" customHeight="1" x14ac:dyDescent="0.25">
      <c r="A37" s="79"/>
      <c r="B37" s="80"/>
      <c r="C37" s="81"/>
      <c r="D37" s="10" t="s">
        <v>170</v>
      </c>
      <c r="E37" s="12">
        <v>3</v>
      </c>
    </row>
    <row r="38" spans="1:5" ht="15.75" customHeight="1" x14ac:dyDescent="0.25">
      <c r="A38" s="82"/>
      <c r="B38" s="71"/>
      <c r="C38" s="72"/>
      <c r="D38" s="20" t="s">
        <v>174</v>
      </c>
      <c r="E38" s="18">
        <f>SUM(E30:E32)+E29+E14+E8+E33</f>
        <v>65</v>
      </c>
    </row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32:C32"/>
    <mergeCell ref="A33:C37"/>
    <mergeCell ref="A38:C38"/>
    <mergeCell ref="A1:B1"/>
    <mergeCell ref="A2:C2"/>
    <mergeCell ref="A3:C8"/>
    <mergeCell ref="A9:C14"/>
    <mergeCell ref="A15:C29"/>
    <mergeCell ref="A30:C30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1"/>
  <sheetViews>
    <sheetView tabSelected="1" topLeftCell="A12" workbookViewId="0">
      <selection activeCell="B22" sqref="B22"/>
    </sheetView>
  </sheetViews>
  <sheetFormatPr baseColWidth="10" defaultColWidth="12.5703125" defaultRowHeight="15" customHeight="1" x14ac:dyDescent="0.2"/>
  <cols>
    <col min="1" max="1" width="43.5703125" customWidth="1"/>
    <col min="2" max="2" width="70.5703125" customWidth="1"/>
    <col min="3" max="6" width="12.5703125" customWidth="1"/>
  </cols>
  <sheetData>
    <row r="1" spans="1:4" ht="15.75" customHeight="1" x14ac:dyDescent="0.25">
      <c r="A1" s="93" t="s">
        <v>345</v>
      </c>
      <c r="B1" s="2"/>
      <c r="C1" s="5"/>
      <c r="D1" s="7"/>
    </row>
    <row r="2" spans="1:4" ht="15.75" customHeight="1" x14ac:dyDescent="0.25">
      <c r="A2" s="124" t="s">
        <v>0</v>
      </c>
      <c r="B2" s="2"/>
      <c r="C2" s="5"/>
      <c r="D2" s="7"/>
    </row>
    <row r="3" spans="1:4" ht="15.75" customHeight="1" x14ac:dyDescent="0.25">
      <c r="A3" s="123"/>
      <c r="B3" s="133" t="s">
        <v>2</v>
      </c>
      <c r="C3" s="133" t="s">
        <v>5</v>
      </c>
      <c r="D3" s="97"/>
    </row>
    <row r="4" spans="1:4" ht="15.75" customHeight="1" x14ac:dyDescent="0.25">
      <c r="A4" s="125" t="s">
        <v>7</v>
      </c>
      <c r="B4" s="134" t="s">
        <v>8</v>
      </c>
      <c r="C4" s="126"/>
      <c r="D4" s="96"/>
    </row>
    <row r="5" spans="1:4" ht="15.75" customHeight="1" x14ac:dyDescent="0.25">
      <c r="A5" s="125"/>
      <c r="B5" s="8" t="s">
        <v>11</v>
      </c>
      <c r="C5" s="123">
        <v>2</v>
      </c>
      <c r="D5" s="101"/>
    </row>
    <row r="6" spans="1:4" ht="15.75" customHeight="1" x14ac:dyDescent="0.25">
      <c r="A6" s="125"/>
      <c r="B6" s="8" t="s">
        <v>16</v>
      </c>
      <c r="C6" s="123">
        <v>2</v>
      </c>
      <c r="D6" s="15"/>
    </row>
    <row r="7" spans="1:4" ht="15.75" customHeight="1" x14ac:dyDescent="0.25">
      <c r="A7" s="125"/>
      <c r="B7" s="8" t="s">
        <v>18</v>
      </c>
      <c r="C7" s="123">
        <v>2</v>
      </c>
      <c r="D7" s="15"/>
    </row>
    <row r="8" spans="1:4" ht="15.75" customHeight="1" x14ac:dyDescent="0.25">
      <c r="A8" s="125"/>
      <c r="B8" s="102" t="s">
        <v>20</v>
      </c>
      <c r="C8" s="123">
        <v>2</v>
      </c>
      <c r="D8" s="15"/>
    </row>
    <row r="9" spans="1:4" ht="15.75" customHeight="1" x14ac:dyDescent="0.25">
      <c r="A9" s="125"/>
      <c r="B9" s="8" t="s">
        <v>21</v>
      </c>
      <c r="C9" s="123">
        <v>2</v>
      </c>
      <c r="D9" s="15"/>
    </row>
    <row r="10" spans="1:4" ht="15.75" customHeight="1" x14ac:dyDescent="0.25">
      <c r="A10" s="93"/>
      <c r="B10" s="132" t="s">
        <v>19</v>
      </c>
      <c r="C10" s="132">
        <f>SUM(C5:C9)</f>
        <v>10</v>
      </c>
      <c r="D10" s="97"/>
    </row>
    <row r="11" spans="1:4" ht="15.75" customHeight="1" x14ac:dyDescent="0.25">
      <c r="A11" s="125" t="s">
        <v>24</v>
      </c>
      <c r="B11" s="134" t="s">
        <v>25</v>
      </c>
      <c r="C11" s="95"/>
      <c r="D11" s="115"/>
    </row>
    <row r="12" spans="1:4" ht="15.75" customHeight="1" x14ac:dyDescent="0.25">
      <c r="A12" s="125"/>
      <c r="B12" s="8" t="s">
        <v>26</v>
      </c>
      <c r="C12" s="123">
        <v>1</v>
      </c>
      <c r="D12" s="104"/>
    </row>
    <row r="13" spans="1:4" ht="15.75" customHeight="1" x14ac:dyDescent="0.25">
      <c r="A13" s="125"/>
      <c r="B13" s="8" t="s">
        <v>27</v>
      </c>
      <c r="C13" s="123">
        <v>1</v>
      </c>
      <c r="D13" s="22"/>
    </row>
    <row r="14" spans="1:4" ht="15.75" customHeight="1" x14ac:dyDescent="0.25">
      <c r="A14" s="125"/>
      <c r="B14" s="8" t="s">
        <v>29</v>
      </c>
      <c r="C14" s="123">
        <v>2</v>
      </c>
      <c r="D14" s="22"/>
    </row>
    <row r="15" spans="1:4" ht="15.75" customHeight="1" x14ac:dyDescent="0.25">
      <c r="A15" s="125"/>
      <c r="B15" s="8" t="s">
        <v>31</v>
      </c>
      <c r="C15" s="123">
        <v>2</v>
      </c>
      <c r="D15" s="22"/>
    </row>
    <row r="16" spans="1:4" ht="15.75" customHeight="1" x14ac:dyDescent="0.25">
      <c r="A16" s="125"/>
      <c r="B16" s="8" t="s">
        <v>33</v>
      </c>
      <c r="C16" s="123">
        <v>2</v>
      </c>
      <c r="D16" s="22"/>
    </row>
    <row r="17" spans="1:4" ht="15.75" customHeight="1" x14ac:dyDescent="0.25">
      <c r="A17" s="125"/>
      <c r="B17" s="105" t="s">
        <v>34</v>
      </c>
      <c r="C17" s="127">
        <v>1</v>
      </c>
      <c r="D17" s="106"/>
    </row>
    <row r="18" spans="1:4" ht="15.75" customHeight="1" x14ac:dyDescent="0.25">
      <c r="A18" s="125"/>
      <c r="B18" s="116" t="s">
        <v>37</v>
      </c>
      <c r="C18" s="128">
        <v>1</v>
      </c>
      <c r="D18" s="117"/>
    </row>
    <row r="19" spans="1:4" ht="15.75" customHeight="1" x14ac:dyDescent="0.25">
      <c r="A19" s="93"/>
      <c r="B19" s="132" t="s">
        <v>19</v>
      </c>
      <c r="C19" s="132">
        <f>SUM(C12:C18)</f>
        <v>10</v>
      </c>
      <c r="D19" s="98"/>
    </row>
    <row r="20" spans="1:4" ht="15.75" customHeight="1" x14ac:dyDescent="0.25">
      <c r="A20" s="125" t="s">
        <v>40</v>
      </c>
      <c r="B20" s="135" t="s">
        <v>41</v>
      </c>
      <c r="C20" s="126"/>
      <c r="D20" s="112"/>
    </row>
    <row r="21" spans="1:4" ht="15.75" customHeight="1" x14ac:dyDescent="0.25">
      <c r="A21" s="125"/>
      <c r="B21" s="8" t="s">
        <v>44</v>
      </c>
      <c r="C21" s="123">
        <v>2</v>
      </c>
      <c r="D21" s="15"/>
    </row>
    <row r="22" spans="1:4" ht="15.75" customHeight="1" x14ac:dyDescent="0.25">
      <c r="A22" s="125"/>
      <c r="B22" s="8" t="s">
        <v>47</v>
      </c>
      <c r="C22" s="123">
        <v>1</v>
      </c>
      <c r="D22" s="15"/>
    </row>
    <row r="23" spans="1:4" ht="15.75" customHeight="1" x14ac:dyDescent="0.25">
      <c r="A23" s="125"/>
      <c r="B23" s="8" t="s">
        <v>51</v>
      </c>
      <c r="C23" s="123">
        <v>1</v>
      </c>
      <c r="D23" s="15"/>
    </row>
    <row r="24" spans="1:4" ht="15.75" customHeight="1" x14ac:dyDescent="0.25">
      <c r="A24" s="125"/>
      <c r="B24" s="8" t="s">
        <v>55</v>
      </c>
      <c r="C24" s="123">
        <v>1</v>
      </c>
      <c r="D24" s="101"/>
    </row>
    <row r="25" spans="1:4" ht="15.75" customHeight="1" x14ac:dyDescent="0.25">
      <c r="A25" s="125"/>
      <c r="B25" s="8" t="s">
        <v>57</v>
      </c>
      <c r="C25" s="123">
        <v>1</v>
      </c>
      <c r="D25" s="122"/>
    </row>
    <row r="26" spans="1:4" ht="15.75" customHeight="1" x14ac:dyDescent="0.25">
      <c r="A26" s="125"/>
      <c r="B26" s="8" t="s">
        <v>63</v>
      </c>
      <c r="C26" s="123">
        <v>1</v>
      </c>
      <c r="D26" s="122"/>
    </row>
    <row r="27" spans="1:4" ht="15.75" customHeight="1" x14ac:dyDescent="0.25">
      <c r="A27" s="125"/>
      <c r="B27" s="8" t="s">
        <v>67</v>
      </c>
      <c r="C27" s="123">
        <v>1</v>
      </c>
      <c r="D27" s="122"/>
    </row>
    <row r="28" spans="1:4" ht="15.75" customHeight="1" x14ac:dyDescent="0.25">
      <c r="A28" s="125"/>
      <c r="B28" s="107" t="s">
        <v>34</v>
      </c>
      <c r="C28" s="129" t="s">
        <v>73</v>
      </c>
      <c r="D28" s="108"/>
    </row>
    <row r="29" spans="1:4" ht="15.75" customHeight="1" x14ac:dyDescent="0.25">
      <c r="A29" s="125"/>
      <c r="B29" s="116" t="s">
        <v>37</v>
      </c>
      <c r="C29" s="128" t="s">
        <v>73</v>
      </c>
      <c r="D29" s="118"/>
    </row>
    <row r="30" spans="1:4" ht="15.75" customHeight="1" x14ac:dyDescent="0.25">
      <c r="A30" s="93"/>
      <c r="B30" s="132" t="s">
        <v>19</v>
      </c>
      <c r="C30" s="132">
        <v>9</v>
      </c>
      <c r="D30" s="94"/>
    </row>
    <row r="31" spans="1:4" ht="15.75" customHeight="1" x14ac:dyDescent="0.25">
      <c r="A31" s="125" t="s">
        <v>83</v>
      </c>
      <c r="B31" s="134" t="s">
        <v>85</v>
      </c>
      <c r="C31" s="126"/>
      <c r="D31" s="113"/>
    </row>
    <row r="32" spans="1:4" ht="15.75" customHeight="1" x14ac:dyDescent="0.25">
      <c r="A32" s="125"/>
      <c r="B32" s="8" t="s">
        <v>90</v>
      </c>
      <c r="C32" s="123">
        <v>2</v>
      </c>
      <c r="D32" s="122"/>
    </row>
    <row r="33" spans="1:4" ht="15.75" customHeight="1" x14ac:dyDescent="0.25">
      <c r="A33" s="125"/>
      <c r="B33" s="8" t="s">
        <v>95</v>
      </c>
      <c r="C33" s="123">
        <v>1</v>
      </c>
      <c r="D33" s="122"/>
    </row>
    <row r="34" spans="1:4" ht="15.75" customHeight="1" x14ac:dyDescent="0.25">
      <c r="A34" s="125"/>
      <c r="B34" s="8" t="s">
        <v>98</v>
      </c>
      <c r="C34" s="123">
        <v>1</v>
      </c>
      <c r="D34" s="122"/>
    </row>
    <row r="35" spans="1:4" ht="15.75" customHeight="1" x14ac:dyDescent="0.25">
      <c r="A35" s="125"/>
      <c r="B35" s="8" t="s">
        <v>100</v>
      </c>
      <c r="C35" s="123">
        <v>1</v>
      </c>
      <c r="D35" s="122"/>
    </row>
    <row r="36" spans="1:4" ht="15.75" customHeight="1" x14ac:dyDescent="0.25">
      <c r="A36" s="125"/>
      <c r="B36" s="8" t="s">
        <v>103</v>
      </c>
      <c r="C36" s="123">
        <v>1</v>
      </c>
      <c r="D36" s="122"/>
    </row>
    <row r="37" spans="1:4" ht="15.75" customHeight="1" x14ac:dyDescent="0.25">
      <c r="A37" s="125"/>
      <c r="B37" s="8" t="s">
        <v>106</v>
      </c>
      <c r="C37" s="123">
        <v>1</v>
      </c>
      <c r="D37" s="122"/>
    </row>
    <row r="38" spans="1:4" ht="15.75" customHeight="1" x14ac:dyDescent="0.25">
      <c r="A38" s="125"/>
      <c r="B38" s="8" t="s">
        <v>110</v>
      </c>
      <c r="C38" s="123">
        <v>1</v>
      </c>
      <c r="D38" s="15"/>
    </row>
    <row r="39" spans="1:4" ht="15.75" customHeight="1" x14ac:dyDescent="0.25">
      <c r="A39" s="125"/>
      <c r="B39" s="107" t="s">
        <v>34</v>
      </c>
      <c r="C39" s="129">
        <v>1</v>
      </c>
      <c r="D39" s="109"/>
    </row>
    <row r="40" spans="1:4" ht="15.75" customHeight="1" x14ac:dyDescent="0.25">
      <c r="A40" s="125"/>
      <c r="B40" s="116" t="s">
        <v>37</v>
      </c>
      <c r="C40" s="128">
        <v>1</v>
      </c>
      <c r="D40" s="119"/>
    </row>
    <row r="41" spans="1:4" ht="15.75" customHeight="1" x14ac:dyDescent="0.25">
      <c r="A41" s="93"/>
      <c r="B41" s="132" t="s">
        <v>19</v>
      </c>
      <c r="C41" s="132">
        <f>SUM(C32:C40)</f>
        <v>10</v>
      </c>
      <c r="D41" s="99"/>
    </row>
    <row r="42" spans="1:4" ht="15.75" customHeight="1" x14ac:dyDescent="0.25">
      <c r="A42" s="125" t="s">
        <v>119</v>
      </c>
      <c r="B42" s="134" t="s">
        <v>120</v>
      </c>
      <c r="C42" s="126"/>
      <c r="D42" s="96"/>
    </row>
    <row r="43" spans="1:4" ht="15.75" customHeight="1" x14ac:dyDescent="0.25">
      <c r="A43" s="125"/>
      <c r="B43" s="8" t="s">
        <v>124</v>
      </c>
      <c r="C43" s="123">
        <v>1</v>
      </c>
      <c r="D43" s="3"/>
    </row>
    <row r="44" spans="1:4" ht="15.75" customHeight="1" x14ac:dyDescent="0.25">
      <c r="A44" s="125"/>
      <c r="B44" s="8" t="s">
        <v>127</v>
      </c>
      <c r="C44" s="123">
        <v>1</v>
      </c>
      <c r="D44" s="101"/>
    </row>
    <row r="45" spans="1:4" ht="15.75" customHeight="1" x14ac:dyDescent="0.25">
      <c r="A45" s="125"/>
      <c r="B45" s="8" t="s">
        <v>129</v>
      </c>
      <c r="C45" s="123">
        <v>1</v>
      </c>
      <c r="D45" s="122"/>
    </row>
    <row r="46" spans="1:4" ht="15.75" customHeight="1" x14ac:dyDescent="0.25">
      <c r="A46" s="125"/>
      <c r="B46" s="8" t="s">
        <v>131</v>
      </c>
      <c r="C46" s="123">
        <v>1</v>
      </c>
      <c r="D46" s="15"/>
    </row>
    <row r="47" spans="1:4" ht="15.75" customHeight="1" x14ac:dyDescent="0.25">
      <c r="A47" s="125"/>
      <c r="B47" s="8" t="s">
        <v>134</v>
      </c>
      <c r="C47" s="123">
        <v>2</v>
      </c>
      <c r="D47" s="15"/>
    </row>
    <row r="48" spans="1:4" ht="15.75" customHeight="1" x14ac:dyDescent="0.25">
      <c r="A48" s="125"/>
      <c r="B48" s="8" t="s">
        <v>136</v>
      </c>
      <c r="C48" s="123">
        <v>1</v>
      </c>
      <c r="D48" s="15"/>
    </row>
    <row r="49" spans="1:4" ht="15.75" customHeight="1" x14ac:dyDescent="0.25">
      <c r="A49" s="125"/>
      <c r="B49" s="8" t="s">
        <v>138</v>
      </c>
      <c r="C49" s="123" t="s">
        <v>73</v>
      </c>
      <c r="D49" s="15"/>
    </row>
    <row r="50" spans="1:4" ht="15.75" customHeight="1" x14ac:dyDescent="0.25">
      <c r="A50" s="125"/>
      <c r="B50" s="8" t="s">
        <v>140</v>
      </c>
      <c r="C50" s="123" t="s">
        <v>73</v>
      </c>
      <c r="D50" s="15"/>
    </row>
    <row r="51" spans="1:4" ht="15.75" customHeight="1" x14ac:dyDescent="0.25">
      <c r="A51" s="125"/>
      <c r="B51" s="107" t="s">
        <v>34</v>
      </c>
      <c r="C51" s="129" t="s">
        <v>73</v>
      </c>
      <c r="D51" s="110"/>
    </row>
    <row r="52" spans="1:4" ht="15.75" customHeight="1" x14ac:dyDescent="0.25">
      <c r="A52" s="125"/>
      <c r="B52" s="116" t="s">
        <v>37</v>
      </c>
      <c r="C52" s="128" t="s">
        <v>73</v>
      </c>
      <c r="D52" s="120"/>
    </row>
    <row r="53" spans="1:4" ht="15.75" customHeight="1" x14ac:dyDescent="0.25">
      <c r="A53" s="93"/>
      <c r="B53" s="132" t="s">
        <v>19</v>
      </c>
      <c r="C53" s="132">
        <v>9</v>
      </c>
      <c r="D53" s="98"/>
    </row>
    <row r="54" spans="1:4" ht="15.75" customHeight="1" x14ac:dyDescent="0.25">
      <c r="A54" s="125" t="s">
        <v>146</v>
      </c>
      <c r="B54" s="134" t="s">
        <v>147</v>
      </c>
      <c r="C54" s="126"/>
      <c r="D54" s="114"/>
    </row>
    <row r="55" spans="1:4" ht="15.75" customHeight="1" x14ac:dyDescent="0.25">
      <c r="A55" s="125"/>
      <c r="B55" s="8" t="s">
        <v>151</v>
      </c>
      <c r="C55" s="123">
        <v>1</v>
      </c>
      <c r="D55" s="101"/>
    </row>
    <row r="56" spans="1:4" ht="15.75" customHeight="1" x14ac:dyDescent="0.25">
      <c r="A56" s="125"/>
      <c r="B56" s="8" t="s">
        <v>155</v>
      </c>
      <c r="C56" s="123">
        <v>2</v>
      </c>
      <c r="D56" s="122"/>
    </row>
    <row r="57" spans="1:4" ht="15.75" customHeight="1" x14ac:dyDescent="0.25">
      <c r="A57" s="125"/>
      <c r="B57" s="8" t="s">
        <v>158</v>
      </c>
      <c r="C57" s="123">
        <v>1</v>
      </c>
      <c r="D57" s="122"/>
    </row>
    <row r="58" spans="1:4" ht="15.75" customHeight="1" x14ac:dyDescent="0.25">
      <c r="A58" s="125"/>
      <c r="B58" s="8" t="s">
        <v>159</v>
      </c>
      <c r="C58" s="123">
        <v>1</v>
      </c>
      <c r="D58" s="122"/>
    </row>
    <row r="59" spans="1:4" ht="15.75" customHeight="1" x14ac:dyDescent="0.25">
      <c r="A59" s="125"/>
      <c r="B59" s="8" t="s">
        <v>161</v>
      </c>
      <c r="C59" s="123">
        <v>1</v>
      </c>
      <c r="D59" s="122"/>
    </row>
    <row r="60" spans="1:4" ht="15.75" customHeight="1" x14ac:dyDescent="0.25">
      <c r="A60" s="125"/>
      <c r="B60" s="8" t="s">
        <v>163</v>
      </c>
      <c r="C60" s="123">
        <v>1</v>
      </c>
      <c r="D60" s="122"/>
    </row>
    <row r="61" spans="1:4" ht="15.75" customHeight="1" x14ac:dyDescent="0.25">
      <c r="A61" s="125"/>
      <c r="B61" s="8" t="s">
        <v>166</v>
      </c>
      <c r="C61" s="123">
        <v>1</v>
      </c>
      <c r="D61" s="104"/>
    </row>
    <row r="62" spans="1:4" ht="15.75" customHeight="1" x14ac:dyDescent="0.25">
      <c r="A62" s="125"/>
      <c r="B62" s="8" t="s">
        <v>168</v>
      </c>
      <c r="C62" s="123">
        <v>1</v>
      </c>
      <c r="D62" s="3"/>
    </row>
    <row r="63" spans="1:4" ht="15.75" customHeight="1" x14ac:dyDescent="0.25">
      <c r="A63" s="125"/>
      <c r="B63" s="116" t="s">
        <v>37</v>
      </c>
      <c r="C63" s="128">
        <v>1</v>
      </c>
      <c r="D63" s="121"/>
    </row>
    <row r="64" spans="1:4" ht="15.75" customHeight="1" x14ac:dyDescent="0.25">
      <c r="A64" s="93"/>
      <c r="B64" s="136" t="s">
        <v>19</v>
      </c>
      <c r="C64" s="132">
        <v>10</v>
      </c>
      <c r="D64" s="100"/>
    </row>
    <row r="65" spans="1:4" ht="15.75" customHeight="1" x14ac:dyDescent="0.25">
      <c r="A65" s="125" t="s">
        <v>171</v>
      </c>
      <c r="B65" s="134" t="s">
        <v>172</v>
      </c>
      <c r="C65" s="126"/>
      <c r="D65" s="115"/>
    </row>
    <row r="66" spans="1:4" ht="15.75" customHeight="1" x14ac:dyDescent="0.25">
      <c r="A66" s="125"/>
      <c r="B66" s="8" t="s">
        <v>173</v>
      </c>
      <c r="C66" s="123">
        <v>1</v>
      </c>
      <c r="D66" s="15"/>
    </row>
    <row r="67" spans="1:4" ht="15.75" customHeight="1" x14ac:dyDescent="0.25">
      <c r="A67" s="125"/>
      <c r="B67" s="8" t="s">
        <v>175</v>
      </c>
      <c r="C67" s="123">
        <v>1</v>
      </c>
      <c r="D67" s="15"/>
    </row>
    <row r="68" spans="1:4" ht="15.75" customHeight="1" x14ac:dyDescent="0.25">
      <c r="A68" s="125"/>
      <c r="B68" s="8" t="s">
        <v>176</v>
      </c>
      <c r="C68" s="123">
        <v>1</v>
      </c>
      <c r="D68" s="26"/>
    </row>
    <row r="69" spans="1:4" ht="15.75" customHeight="1" x14ac:dyDescent="0.25">
      <c r="A69" s="125"/>
      <c r="B69" s="8" t="s">
        <v>177</v>
      </c>
      <c r="C69" s="123">
        <v>1</v>
      </c>
      <c r="D69" s="15"/>
    </row>
    <row r="70" spans="1:4" ht="15.75" customHeight="1" x14ac:dyDescent="0.25">
      <c r="A70" s="125"/>
      <c r="B70" s="8" t="s">
        <v>178</v>
      </c>
      <c r="C70" s="123">
        <v>1</v>
      </c>
      <c r="D70" s="15"/>
    </row>
    <row r="71" spans="1:4" ht="15.75" customHeight="1" x14ac:dyDescent="0.25">
      <c r="A71" s="125"/>
      <c r="B71" s="8" t="s">
        <v>179</v>
      </c>
      <c r="C71" s="123">
        <v>1</v>
      </c>
      <c r="D71" s="122"/>
    </row>
    <row r="72" spans="1:4" ht="15.75" customHeight="1" x14ac:dyDescent="0.25">
      <c r="A72" s="125"/>
      <c r="B72" s="8" t="s">
        <v>180</v>
      </c>
      <c r="C72" s="123">
        <v>1</v>
      </c>
      <c r="D72" s="122"/>
    </row>
    <row r="73" spans="1:4" ht="15.75" customHeight="1" x14ac:dyDescent="0.25">
      <c r="A73" s="125"/>
      <c r="B73" s="8" t="s">
        <v>181</v>
      </c>
      <c r="C73" s="123">
        <v>1</v>
      </c>
      <c r="D73" s="101"/>
    </row>
    <row r="74" spans="1:4" ht="15.75" customHeight="1" x14ac:dyDescent="0.25">
      <c r="A74" s="125"/>
      <c r="B74" s="107" t="s">
        <v>34</v>
      </c>
      <c r="C74" s="129">
        <v>1</v>
      </c>
      <c r="D74" s="111"/>
    </row>
    <row r="75" spans="1:4" ht="15.75" customHeight="1" x14ac:dyDescent="0.25">
      <c r="A75" s="125"/>
      <c r="B75" s="116" t="s">
        <v>37</v>
      </c>
      <c r="C75" s="128">
        <v>1</v>
      </c>
      <c r="D75" s="121"/>
    </row>
    <row r="76" spans="1:4" ht="15.75" customHeight="1" x14ac:dyDescent="0.25">
      <c r="A76" s="93"/>
      <c r="B76" s="136" t="s">
        <v>19</v>
      </c>
      <c r="C76" s="132">
        <v>10</v>
      </c>
      <c r="D76" s="97"/>
    </row>
    <row r="77" spans="1:4" ht="15.75" customHeight="1" x14ac:dyDescent="0.25">
      <c r="A77" s="125" t="s">
        <v>185</v>
      </c>
      <c r="B77" s="134" t="s">
        <v>186</v>
      </c>
      <c r="C77" s="126"/>
      <c r="D77" s="115"/>
    </row>
    <row r="78" spans="1:4" ht="15.75" customHeight="1" x14ac:dyDescent="0.25">
      <c r="A78" s="125"/>
      <c r="B78" s="8" t="s">
        <v>187</v>
      </c>
      <c r="C78" s="123">
        <v>2</v>
      </c>
      <c r="D78" s="15"/>
    </row>
    <row r="79" spans="1:4" ht="15.75" customHeight="1" x14ac:dyDescent="0.25">
      <c r="A79" s="125"/>
      <c r="B79" s="8" t="s">
        <v>188</v>
      </c>
      <c r="C79" s="123">
        <v>1</v>
      </c>
      <c r="D79" s="15"/>
    </row>
    <row r="80" spans="1:4" ht="15.75" customHeight="1" x14ac:dyDescent="0.25">
      <c r="A80" s="125"/>
      <c r="B80" s="8" t="s">
        <v>189</v>
      </c>
      <c r="C80" s="123">
        <v>2</v>
      </c>
      <c r="D80" s="15"/>
    </row>
    <row r="81" spans="1:4" ht="15.75" customHeight="1" x14ac:dyDescent="0.25">
      <c r="A81" s="125"/>
      <c r="B81" s="8" t="s">
        <v>190</v>
      </c>
      <c r="C81" s="123">
        <v>1</v>
      </c>
      <c r="D81" s="15"/>
    </row>
    <row r="82" spans="1:4" ht="15.75" customHeight="1" x14ac:dyDescent="0.25">
      <c r="A82" s="125"/>
      <c r="B82" s="8" t="s">
        <v>191</v>
      </c>
      <c r="C82" s="123">
        <v>1</v>
      </c>
      <c r="D82" s="15"/>
    </row>
    <row r="83" spans="1:4" ht="15.75" customHeight="1" x14ac:dyDescent="0.25">
      <c r="A83" s="125"/>
      <c r="B83" s="8" t="s">
        <v>192</v>
      </c>
      <c r="C83" s="123">
        <v>1</v>
      </c>
      <c r="D83" s="122"/>
    </row>
    <row r="84" spans="1:4" ht="15.75" customHeight="1" x14ac:dyDescent="0.25">
      <c r="A84" s="125"/>
      <c r="B84" s="8" t="s">
        <v>193</v>
      </c>
      <c r="C84" s="123">
        <v>1</v>
      </c>
      <c r="D84" s="122"/>
    </row>
    <row r="85" spans="1:4" ht="15.75" customHeight="1" x14ac:dyDescent="0.25">
      <c r="A85" s="125"/>
      <c r="B85" s="8" t="s">
        <v>194</v>
      </c>
      <c r="C85" s="123">
        <v>1</v>
      </c>
      <c r="D85" s="104"/>
    </row>
    <row r="86" spans="1:4" ht="15.75" customHeight="1" x14ac:dyDescent="0.25">
      <c r="A86" s="125"/>
      <c r="B86" s="8" t="s">
        <v>195</v>
      </c>
      <c r="C86" s="123">
        <v>1</v>
      </c>
      <c r="D86" s="3"/>
    </row>
    <row r="87" spans="1:4" ht="15.75" customHeight="1" x14ac:dyDescent="0.25">
      <c r="A87" s="8"/>
      <c r="B87" s="136" t="s">
        <v>19</v>
      </c>
      <c r="C87" s="132">
        <v>11</v>
      </c>
      <c r="D87" s="94"/>
    </row>
    <row r="88" spans="1:4" ht="15.75" customHeight="1" x14ac:dyDescent="0.35">
      <c r="A88" s="8"/>
      <c r="B88" s="102"/>
      <c r="C88" s="123"/>
      <c r="D88" s="32"/>
    </row>
    <row r="89" spans="1:4" ht="15.75" customHeight="1" x14ac:dyDescent="0.2">
      <c r="B89" s="102"/>
      <c r="C89" s="130"/>
    </row>
    <row r="90" spans="1:4" ht="15.75" customHeight="1" x14ac:dyDescent="0.3">
      <c r="B90" s="103" t="s">
        <v>196</v>
      </c>
      <c r="C90" s="131">
        <f>SUM(C12,C5:C9,C13:C18,C21:C29,C32:C40,C43:C52,C55:C63,C66:C75,C78:C86)</f>
        <v>76</v>
      </c>
    </row>
    <row r="91" spans="1:4" ht="15.75" customHeight="1" x14ac:dyDescent="0.2"/>
    <row r="92" spans="1:4" ht="15.75" customHeight="1" x14ac:dyDescent="0.2"/>
    <row r="93" spans="1:4" ht="15.75" customHeight="1" x14ac:dyDescent="0.2"/>
    <row r="94" spans="1:4" ht="15.75" customHeight="1" x14ac:dyDescent="0.2"/>
    <row r="95" spans="1:4" ht="15.75" customHeight="1" x14ac:dyDescent="0.2"/>
    <row r="96" spans="1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baseColWidth="10" defaultColWidth="12.5703125" defaultRowHeight="15" customHeight="1" x14ac:dyDescent="0.2"/>
  <cols>
    <col min="1" max="2" width="12.5703125" customWidth="1"/>
    <col min="3" max="3" width="8" customWidth="1"/>
    <col min="4" max="4" width="42.28515625" customWidth="1"/>
    <col min="5" max="6" width="12.5703125" customWidth="1"/>
  </cols>
  <sheetData>
    <row r="1" spans="1:5" ht="15.75" customHeight="1" x14ac:dyDescent="0.25">
      <c r="A1" s="82"/>
      <c r="B1" s="71"/>
      <c r="C1" s="72"/>
      <c r="D1" s="6" t="s">
        <v>2</v>
      </c>
      <c r="E1" s="6" t="s">
        <v>0</v>
      </c>
    </row>
    <row r="2" spans="1:5" ht="15.75" customHeight="1" x14ac:dyDescent="0.25">
      <c r="A2" s="73" t="s">
        <v>3</v>
      </c>
      <c r="B2" s="74"/>
      <c r="C2" s="75"/>
      <c r="D2" s="16" t="s">
        <v>14</v>
      </c>
      <c r="E2" s="18">
        <v>4</v>
      </c>
    </row>
    <row r="3" spans="1:5" ht="15.75" customHeight="1" x14ac:dyDescent="0.25">
      <c r="A3" s="76"/>
      <c r="B3" s="77"/>
      <c r="C3" s="78"/>
      <c r="D3" s="16" t="s">
        <v>22</v>
      </c>
      <c r="E3" s="18">
        <v>1</v>
      </c>
    </row>
    <row r="4" spans="1:5" ht="15.75" customHeight="1" x14ac:dyDescent="0.25">
      <c r="A4" s="76"/>
      <c r="B4" s="77"/>
      <c r="C4" s="78"/>
      <c r="D4" s="16" t="s">
        <v>13</v>
      </c>
      <c r="E4" s="18">
        <v>1</v>
      </c>
    </row>
    <row r="5" spans="1:5" ht="15.75" customHeight="1" x14ac:dyDescent="0.25">
      <c r="A5" s="76"/>
      <c r="B5" s="77"/>
      <c r="C5" s="78"/>
      <c r="D5" s="16" t="s">
        <v>8</v>
      </c>
      <c r="E5" s="21"/>
    </row>
    <row r="6" spans="1:5" ht="15.75" customHeight="1" x14ac:dyDescent="0.25">
      <c r="A6" s="76"/>
      <c r="B6" s="77"/>
      <c r="C6" s="78"/>
      <c r="D6" s="13" t="s">
        <v>28</v>
      </c>
      <c r="E6" s="12">
        <v>4</v>
      </c>
    </row>
    <row r="7" spans="1:5" ht="15.75" customHeight="1" x14ac:dyDescent="0.25">
      <c r="A7" s="76"/>
      <c r="B7" s="77"/>
      <c r="C7" s="78"/>
      <c r="D7" s="16" t="s">
        <v>30</v>
      </c>
      <c r="E7" s="21"/>
    </row>
    <row r="8" spans="1:5" ht="15.75" customHeight="1" x14ac:dyDescent="0.25">
      <c r="A8" s="76"/>
      <c r="B8" s="77"/>
      <c r="C8" s="78"/>
      <c r="D8" s="13" t="s">
        <v>32</v>
      </c>
      <c r="E8" s="12">
        <v>4</v>
      </c>
    </row>
    <row r="9" spans="1:5" ht="15.75" customHeight="1" x14ac:dyDescent="0.25">
      <c r="A9" s="79"/>
      <c r="B9" s="80"/>
      <c r="C9" s="81"/>
      <c r="D9" s="18" t="s">
        <v>23</v>
      </c>
      <c r="E9" s="18">
        <f>SUM(E2:E8)</f>
        <v>14</v>
      </c>
    </row>
    <row r="10" spans="1:5" ht="15.75" customHeight="1" x14ac:dyDescent="0.25">
      <c r="A10" s="73" t="s">
        <v>43</v>
      </c>
      <c r="B10" s="74"/>
      <c r="C10" s="75"/>
      <c r="D10" s="25" t="s">
        <v>53</v>
      </c>
      <c r="E10" s="21"/>
    </row>
    <row r="11" spans="1:5" ht="15.75" customHeight="1" x14ac:dyDescent="0.25">
      <c r="A11" s="76"/>
      <c r="B11" s="77"/>
      <c r="C11" s="78"/>
      <c r="D11" s="13" t="s">
        <v>60</v>
      </c>
      <c r="E11" s="12">
        <v>3</v>
      </c>
    </row>
    <row r="12" spans="1:5" ht="15.75" customHeight="1" x14ac:dyDescent="0.25">
      <c r="A12" s="76"/>
      <c r="B12" s="77"/>
      <c r="C12" s="78"/>
      <c r="D12" s="13" t="s">
        <v>64</v>
      </c>
      <c r="E12" s="12">
        <v>2</v>
      </c>
    </row>
    <row r="13" spans="1:5" ht="15.75" customHeight="1" x14ac:dyDescent="0.25">
      <c r="A13" s="76"/>
      <c r="B13" s="77"/>
      <c r="C13" s="78"/>
      <c r="D13" s="13" t="s">
        <v>68</v>
      </c>
      <c r="E13" s="12">
        <v>3</v>
      </c>
    </row>
    <row r="14" spans="1:5" ht="15.75" customHeight="1" x14ac:dyDescent="0.25">
      <c r="A14" s="76"/>
      <c r="B14" s="77"/>
      <c r="C14" s="78"/>
      <c r="D14" s="3" t="s">
        <v>71</v>
      </c>
      <c r="E14" s="12">
        <v>1</v>
      </c>
    </row>
    <row r="15" spans="1:5" ht="15.75" customHeight="1" x14ac:dyDescent="0.25">
      <c r="A15" s="76"/>
      <c r="B15" s="77"/>
      <c r="C15" s="78"/>
      <c r="D15" s="25" t="s">
        <v>75</v>
      </c>
      <c r="E15" s="21"/>
    </row>
    <row r="16" spans="1:5" ht="15.75" customHeight="1" x14ac:dyDescent="0.25">
      <c r="A16" s="76"/>
      <c r="B16" s="77"/>
      <c r="C16" s="78"/>
      <c r="D16" s="13" t="s">
        <v>77</v>
      </c>
      <c r="E16" s="12">
        <v>1</v>
      </c>
    </row>
    <row r="17" spans="1:5" ht="15.75" customHeight="1" x14ac:dyDescent="0.25">
      <c r="A17" s="76"/>
      <c r="B17" s="77"/>
      <c r="C17" s="78"/>
      <c r="D17" s="13" t="s">
        <v>78</v>
      </c>
      <c r="E17" s="12">
        <v>1</v>
      </c>
    </row>
    <row r="18" spans="1:5" ht="15.75" customHeight="1" x14ac:dyDescent="0.25">
      <c r="A18" s="76"/>
      <c r="B18" s="77"/>
      <c r="C18" s="78"/>
      <c r="D18" s="13" t="s">
        <v>82</v>
      </c>
      <c r="E18" s="12">
        <v>2</v>
      </c>
    </row>
    <row r="19" spans="1:5" ht="15.75" customHeight="1" x14ac:dyDescent="0.25">
      <c r="A19" s="76"/>
      <c r="B19" s="77"/>
      <c r="C19" s="78"/>
      <c r="D19" s="13" t="s">
        <v>88</v>
      </c>
      <c r="E19" s="12">
        <v>1</v>
      </c>
    </row>
    <row r="20" spans="1:5" ht="15.75" customHeight="1" x14ac:dyDescent="0.25">
      <c r="A20" s="76"/>
      <c r="B20" s="77"/>
      <c r="C20" s="78"/>
      <c r="D20" s="13" t="s">
        <v>92</v>
      </c>
      <c r="E20" s="12">
        <v>2</v>
      </c>
    </row>
    <row r="21" spans="1:5" ht="15.75" customHeight="1" x14ac:dyDescent="0.25">
      <c r="A21" s="76"/>
      <c r="B21" s="77"/>
      <c r="C21" s="78"/>
      <c r="D21" s="25" t="s">
        <v>101</v>
      </c>
      <c r="E21" s="21"/>
    </row>
    <row r="22" spans="1:5" ht="15.75" customHeight="1" x14ac:dyDescent="0.25">
      <c r="A22" s="76"/>
      <c r="B22" s="77"/>
      <c r="C22" s="78"/>
      <c r="D22" s="13" t="s">
        <v>105</v>
      </c>
      <c r="E22" s="12">
        <v>1</v>
      </c>
    </row>
    <row r="23" spans="1:5" ht="15.75" customHeight="1" x14ac:dyDescent="0.25">
      <c r="A23" s="76"/>
      <c r="B23" s="77"/>
      <c r="C23" s="78"/>
      <c r="D23" s="13" t="s">
        <v>109</v>
      </c>
      <c r="E23" s="12">
        <v>2</v>
      </c>
    </row>
    <row r="24" spans="1:5" ht="15.75" customHeight="1" x14ac:dyDescent="0.25">
      <c r="A24" s="76"/>
      <c r="B24" s="77"/>
      <c r="C24" s="78"/>
      <c r="D24" s="13" t="s">
        <v>112</v>
      </c>
      <c r="E24" s="12">
        <v>2</v>
      </c>
    </row>
    <row r="25" spans="1:5" ht="15.75" customHeight="1" x14ac:dyDescent="0.25">
      <c r="A25" s="76"/>
      <c r="B25" s="77"/>
      <c r="C25" s="78"/>
      <c r="D25" s="13" t="s">
        <v>115</v>
      </c>
      <c r="E25" s="12">
        <v>2</v>
      </c>
    </row>
    <row r="26" spans="1:5" ht="15.75" customHeight="1" x14ac:dyDescent="0.25">
      <c r="A26" s="76"/>
      <c r="B26" s="77"/>
      <c r="C26" s="78"/>
      <c r="D26" s="13" t="s">
        <v>117</v>
      </c>
      <c r="E26" s="12">
        <v>3</v>
      </c>
    </row>
    <row r="27" spans="1:5" ht="15.75" customHeight="1" x14ac:dyDescent="0.25">
      <c r="A27" s="76"/>
      <c r="B27" s="77"/>
      <c r="C27" s="78"/>
      <c r="D27" s="29" t="s">
        <v>123</v>
      </c>
      <c r="E27" s="12">
        <v>2</v>
      </c>
    </row>
    <row r="28" spans="1:5" ht="15.75" customHeight="1" x14ac:dyDescent="0.25">
      <c r="A28" s="76"/>
      <c r="B28" s="77"/>
      <c r="C28" s="78"/>
      <c r="D28" s="30" t="s">
        <v>128</v>
      </c>
      <c r="E28" s="12">
        <v>2</v>
      </c>
    </row>
    <row r="29" spans="1:5" ht="15.75" customHeight="1" x14ac:dyDescent="0.25">
      <c r="A29" s="76"/>
      <c r="B29" s="77"/>
      <c r="C29" s="78"/>
      <c r="D29" s="25" t="s">
        <v>133</v>
      </c>
      <c r="E29" s="21"/>
    </row>
    <row r="30" spans="1:5" ht="15.75" customHeight="1" x14ac:dyDescent="0.25">
      <c r="A30" s="76"/>
      <c r="B30" s="77"/>
      <c r="C30" s="78"/>
      <c r="D30" s="13" t="s">
        <v>135</v>
      </c>
      <c r="E30" s="12">
        <v>2</v>
      </c>
    </row>
    <row r="31" spans="1:5" ht="15.75" customHeight="1" x14ac:dyDescent="0.25">
      <c r="A31" s="76"/>
      <c r="B31" s="77"/>
      <c r="C31" s="78"/>
      <c r="D31" s="13" t="s">
        <v>139</v>
      </c>
      <c r="E31" s="12">
        <v>1</v>
      </c>
    </row>
    <row r="32" spans="1:5" ht="15.75" customHeight="1" x14ac:dyDescent="0.25">
      <c r="A32" s="76"/>
      <c r="B32" s="77"/>
      <c r="C32" s="78"/>
      <c r="D32" s="13" t="s">
        <v>141</v>
      </c>
      <c r="E32" s="12">
        <v>1</v>
      </c>
    </row>
    <row r="33" spans="1:5" ht="15.75" customHeight="1" x14ac:dyDescent="0.25">
      <c r="A33" s="76"/>
      <c r="B33" s="77"/>
      <c r="C33" s="78"/>
      <c r="D33" s="13" t="s">
        <v>144</v>
      </c>
      <c r="E33" s="12">
        <v>1</v>
      </c>
    </row>
    <row r="34" spans="1:5" ht="15.75" customHeight="1" x14ac:dyDescent="0.25">
      <c r="A34" s="76"/>
      <c r="B34" s="77"/>
      <c r="C34" s="78"/>
      <c r="D34" s="25" t="s">
        <v>148</v>
      </c>
      <c r="E34" s="21"/>
    </row>
    <row r="35" spans="1:5" ht="15.75" customHeight="1" x14ac:dyDescent="0.25">
      <c r="A35" s="76"/>
      <c r="B35" s="77"/>
      <c r="C35" s="78"/>
      <c r="D35" s="13" t="s">
        <v>152</v>
      </c>
      <c r="E35" s="12">
        <v>2</v>
      </c>
    </row>
    <row r="36" spans="1:5" ht="15.75" customHeight="1" x14ac:dyDescent="0.25">
      <c r="A36" s="76"/>
      <c r="B36" s="77"/>
      <c r="C36" s="78"/>
      <c r="D36" s="3" t="s">
        <v>157</v>
      </c>
      <c r="E36" s="12">
        <v>1</v>
      </c>
    </row>
    <row r="37" spans="1:5" ht="15.75" customHeight="1" x14ac:dyDescent="0.25">
      <c r="A37" s="76"/>
      <c r="B37" s="77"/>
      <c r="C37" s="78"/>
      <c r="D37" s="13" t="s">
        <v>160</v>
      </c>
      <c r="E37" s="12">
        <v>2</v>
      </c>
    </row>
    <row r="38" spans="1:5" ht="15.75" customHeight="1" x14ac:dyDescent="0.25">
      <c r="A38" s="76"/>
      <c r="B38" s="77"/>
      <c r="C38" s="78"/>
      <c r="D38" s="13" t="s">
        <v>162</v>
      </c>
      <c r="E38" s="12">
        <v>2</v>
      </c>
    </row>
    <row r="39" spans="1:5" ht="15.75" customHeight="1" x14ac:dyDescent="0.25">
      <c r="A39" s="76"/>
      <c r="B39" s="77"/>
      <c r="C39" s="78"/>
      <c r="D39" s="13" t="s">
        <v>165</v>
      </c>
      <c r="E39" s="12">
        <v>2</v>
      </c>
    </row>
    <row r="40" spans="1:5" ht="15.75" customHeight="1" x14ac:dyDescent="0.25">
      <c r="A40" s="79"/>
      <c r="B40" s="80"/>
      <c r="C40" s="81"/>
      <c r="D40" s="19" t="s">
        <v>23</v>
      </c>
      <c r="E40" s="18">
        <f>SUM(E10:E39)</f>
        <v>44</v>
      </c>
    </row>
    <row r="41" spans="1:5" ht="15.75" customHeight="1" x14ac:dyDescent="0.25">
      <c r="A41" s="70" t="s">
        <v>137</v>
      </c>
      <c r="B41" s="71"/>
      <c r="C41" s="72"/>
      <c r="D41" s="13" t="s">
        <v>142</v>
      </c>
      <c r="E41" s="12">
        <v>2</v>
      </c>
    </row>
    <row r="42" spans="1:5" ht="15.75" customHeight="1" x14ac:dyDescent="0.25">
      <c r="A42" s="70" t="s">
        <v>130</v>
      </c>
      <c r="B42" s="71"/>
      <c r="C42" s="72"/>
      <c r="D42" s="13" t="s">
        <v>182</v>
      </c>
      <c r="E42" s="12">
        <v>1</v>
      </c>
    </row>
    <row r="43" spans="1:5" ht="15.75" customHeight="1" x14ac:dyDescent="0.25">
      <c r="A43" s="73" t="s">
        <v>183</v>
      </c>
      <c r="B43" s="74"/>
      <c r="C43" s="75"/>
      <c r="D43" s="13" t="s">
        <v>184</v>
      </c>
      <c r="E43" s="12">
        <v>1</v>
      </c>
    </row>
    <row r="44" spans="1:5" ht="15.75" customHeight="1" x14ac:dyDescent="0.25">
      <c r="A44" s="79"/>
      <c r="B44" s="80"/>
      <c r="C44" s="81"/>
      <c r="D44" s="13" t="s">
        <v>132</v>
      </c>
      <c r="E44" s="12">
        <v>1</v>
      </c>
    </row>
    <row r="45" spans="1:5" ht="15.75" customHeight="1" x14ac:dyDescent="0.25">
      <c r="A45" s="70" t="s">
        <v>149</v>
      </c>
      <c r="B45" s="71"/>
      <c r="C45" s="72"/>
      <c r="D45" s="13" t="s">
        <v>149</v>
      </c>
      <c r="E45" s="12">
        <v>2</v>
      </c>
    </row>
    <row r="46" spans="1:5" ht="15.75" customHeight="1" x14ac:dyDescent="0.25">
      <c r="A46" s="3"/>
      <c r="B46" s="3"/>
      <c r="C46" s="3"/>
      <c r="D46" s="3"/>
      <c r="E46" s="33">
        <f>SUM(E41:E45)+E40+E9</f>
        <v>65</v>
      </c>
    </row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43:C44"/>
    <mergeCell ref="A45:C45"/>
    <mergeCell ref="A1:C1"/>
    <mergeCell ref="A2:C9"/>
    <mergeCell ref="A10:C40"/>
    <mergeCell ref="A41:C41"/>
    <mergeCell ref="A42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baseColWidth="10" defaultColWidth="12.5703125" defaultRowHeight="15" customHeight="1" x14ac:dyDescent="0.2"/>
  <cols>
    <col min="1" max="1" width="12.5703125" customWidth="1"/>
    <col min="2" max="2" width="34.28515625" customWidth="1"/>
    <col min="3" max="3" width="19.7109375" customWidth="1"/>
    <col min="4" max="6" width="12.5703125" customWidth="1"/>
  </cols>
  <sheetData>
    <row r="1" spans="1:3" ht="15.75" customHeight="1" x14ac:dyDescent="0.25">
      <c r="A1" s="4" t="s">
        <v>1</v>
      </c>
      <c r="B1" s="4" t="s">
        <v>2</v>
      </c>
      <c r="C1" s="4" t="s">
        <v>0</v>
      </c>
    </row>
    <row r="2" spans="1:3" ht="15.75" customHeight="1" x14ac:dyDescent="0.25">
      <c r="A2" s="85" t="s">
        <v>3</v>
      </c>
      <c r="B2" s="9" t="s">
        <v>4</v>
      </c>
      <c r="C2" s="11">
        <v>2</v>
      </c>
    </row>
    <row r="3" spans="1:3" ht="15.75" customHeight="1" x14ac:dyDescent="0.25">
      <c r="A3" s="86"/>
      <c r="B3" s="9" t="s">
        <v>9</v>
      </c>
      <c r="C3" s="11">
        <v>1</v>
      </c>
    </row>
    <row r="4" spans="1:3" ht="15.75" customHeight="1" x14ac:dyDescent="0.25">
      <c r="A4" s="86"/>
      <c r="B4" s="13" t="s">
        <v>8</v>
      </c>
      <c r="C4" s="14">
        <v>4</v>
      </c>
    </row>
    <row r="5" spans="1:3" ht="15.75" customHeight="1" x14ac:dyDescent="0.25">
      <c r="A5" s="86"/>
      <c r="B5" s="13" t="s">
        <v>12</v>
      </c>
      <c r="C5" s="14">
        <v>5</v>
      </c>
    </row>
    <row r="6" spans="1:3" ht="15.75" customHeight="1" x14ac:dyDescent="0.25">
      <c r="A6" s="87"/>
      <c r="B6" s="19" t="s">
        <v>19</v>
      </c>
      <c r="C6" s="23">
        <f>SUM(C2:C5)</f>
        <v>12</v>
      </c>
    </row>
    <row r="7" spans="1:3" ht="15.75" customHeight="1" x14ac:dyDescent="0.25">
      <c r="A7" s="85" t="s">
        <v>35</v>
      </c>
      <c r="B7" s="24" t="s">
        <v>39</v>
      </c>
      <c r="C7" s="13"/>
    </row>
    <row r="8" spans="1:3" ht="15.75" customHeight="1" x14ac:dyDescent="0.25">
      <c r="A8" s="86"/>
      <c r="B8" s="13" t="s">
        <v>45</v>
      </c>
      <c r="C8" s="14">
        <v>2</v>
      </c>
    </row>
    <row r="9" spans="1:3" ht="15.75" customHeight="1" x14ac:dyDescent="0.25">
      <c r="A9" s="86"/>
      <c r="B9" s="13" t="s">
        <v>49</v>
      </c>
      <c r="C9" s="14">
        <v>3</v>
      </c>
    </row>
    <row r="10" spans="1:3" ht="15.75" customHeight="1" x14ac:dyDescent="0.25">
      <c r="A10" s="86"/>
      <c r="B10" s="24" t="s">
        <v>50</v>
      </c>
      <c r="C10" s="13"/>
    </row>
    <row r="11" spans="1:3" ht="15.75" customHeight="1" x14ac:dyDescent="0.25">
      <c r="A11" s="86"/>
      <c r="B11" s="9" t="s">
        <v>54</v>
      </c>
      <c r="C11" s="14">
        <v>1</v>
      </c>
    </row>
    <row r="12" spans="1:3" ht="15.75" customHeight="1" x14ac:dyDescent="0.25">
      <c r="A12" s="86"/>
      <c r="B12" s="13" t="s">
        <v>56</v>
      </c>
      <c r="C12" s="14">
        <v>1</v>
      </c>
    </row>
    <row r="13" spans="1:3" ht="15.75" customHeight="1" x14ac:dyDescent="0.25">
      <c r="A13" s="86"/>
      <c r="B13" s="13" t="s">
        <v>58</v>
      </c>
      <c r="C13" s="14">
        <v>3</v>
      </c>
    </row>
    <row r="14" spans="1:3" ht="15.75" customHeight="1" x14ac:dyDescent="0.25">
      <c r="A14" s="86"/>
      <c r="B14" s="24" t="s">
        <v>59</v>
      </c>
      <c r="C14" s="13"/>
    </row>
    <row r="15" spans="1:3" ht="15.75" customHeight="1" x14ac:dyDescent="0.25">
      <c r="A15" s="86"/>
      <c r="B15" s="13" t="s">
        <v>61</v>
      </c>
      <c r="C15" s="14">
        <v>3</v>
      </c>
    </row>
    <row r="16" spans="1:3" ht="15.75" customHeight="1" x14ac:dyDescent="0.25">
      <c r="A16" s="86"/>
      <c r="B16" s="13" t="s">
        <v>62</v>
      </c>
      <c r="C16" s="14">
        <v>2</v>
      </c>
    </row>
    <row r="17" spans="1:3" ht="15.75" customHeight="1" x14ac:dyDescent="0.25">
      <c r="A17" s="86"/>
      <c r="B17" s="24" t="s">
        <v>65</v>
      </c>
      <c r="C17" s="13"/>
    </row>
    <row r="18" spans="1:3" ht="15.75" customHeight="1" x14ac:dyDescent="0.25">
      <c r="A18" s="86"/>
      <c r="B18" s="13" t="s">
        <v>69</v>
      </c>
      <c r="C18" s="14">
        <v>2</v>
      </c>
    </row>
    <row r="19" spans="1:3" ht="15.75" customHeight="1" x14ac:dyDescent="0.25">
      <c r="A19" s="86"/>
      <c r="B19" s="13" t="s">
        <v>70</v>
      </c>
      <c r="C19" s="14">
        <v>1</v>
      </c>
    </row>
    <row r="20" spans="1:3" ht="15.75" customHeight="1" x14ac:dyDescent="0.25">
      <c r="A20" s="86"/>
      <c r="B20" s="13" t="s">
        <v>72</v>
      </c>
      <c r="C20" s="14">
        <v>2</v>
      </c>
    </row>
    <row r="21" spans="1:3" ht="15.75" customHeight="1" x14ac:dyDescent="0.25">
      <c r="A21" s="86"/>
      <c r="B21" s="13" t="s">
        <v>74</v>
      </c>
      <c r="C21" s="14">
        <v>2</v>
      </c>
    </row>
    <row r="22" spans="1:3" ht="15.75" customHeight="1" x14ac:dyDescent="0.25">
      <c r="A22" s="86"/>
      <c r="B22" s="13" t="s">
        <v>76</v>
      </c>
      <c r="C22" s="14">
        <v>1</v>
      </c>
    </row>
    <row r="23" spans="1:3" ht="15.75" customHeight="1" x14ac:dyDescent="0.25">
      <c r="A23" s="86"/>
      <c r="B23" s="13" t="s">
        <v>79</v>
      </c>
      <c r="C23" s="14">
        <v>1</v>
      </c>
    </row>
    <row r="24" spans="1:3" ht="15.75" customHeight="1" x14ac:dyDescent="0.25">
      <c r="A24" s="86"/>
      <c r="B24" s="24" t="s">
        <v>80</v>
      </c>
      <c r="C24" s="13"/>
    </row>
    <row r="25" spans="1:3" ht="15.75" customHeight="1" x14ac:dyDescent="0.25">
      <c r="A25" s="86"/>
      <c r="B25" s="13" t="s">
        <v>81</v>
      </c>
      <c r="C25" s="14">
        <v>3</v>
      </c>
    </row>
    <row r="26" spans="1:3" ht="15.75" customHeight="1" x14ac:dyDescent="0.25">
      <c r="A26" s="86"/>
      <c r="B26" s="13" t="s">
        <v>86</v>
      </c>
      <c r="C26" s="14">
        <v>2</v>
      </c>
    </row>
    <row r="27" spans="1:3" ht="15.75" customHeight="1" x14ac:dyDescent="0.25">
      <c r="A27" s="86"/>
      <c r="B27" s="24" t="s">
        <v>89</v>
      </c>
      <c r="C27" s="13"/>
    </row>
    <row r="28" spans="1:3" ht="15.75" customHeight="1" x14ac:dyDescent="0.25">
      <c r="A28" s="86"/>
      <c r="B28" s="13" t="s">
        <v>93</v>
      </c>
      <c r="C28" s="14">
        <v>2</v>
      </c>
    </row>
    <row r="29" spans="1:3" ht="15.75" customHeight="1" x14ac:dyDescent="0.25">
      <c r="A29" s="86"/>
      <c r="B29" s="13" t="s">
        <v>99</v>
      </c>
      <c r="C29" s="14">
        <v>3</v>
      </c>
    </row>
    <row r="30" spans="1:3" ht="15.75" customHeight="1" x14ac:dyDescent="0.25">
      <c r="A30" s="86"/>
      <c r="B30" s="24" t="s">
        <v>102</v>
      </c>
      <c r="C30" s="13"/>
    </row>
    <row r="31" spans="1:3" ht="15.75" customHeight="1" x14ac:dyDescent="0.25">
      <c r="A31" s="86"/>
      <c r="B31" s="13" t="s">
        <v>104</v>
      </c>
      <c r="C31" s="14">
        <v>3</v>
      </c>
    </row>
    <row r="32" spans="1:3" ht="15.75" customHeight="1" x14ac:dyDescent="0.25">
      <c r="A32" s="86"/>
      <c r="B32" s="13" t="s">
        <v>107</v>
      </c>
      <c r="C32" s="14">
        <v>2</v>
      </c>
    </row>
    <row r="33" spans="1:3" ht="15.75" customHeight="1" x14ac:dyDescent="0.25">
      <c r="A33" s="87"/>
      <c r="B33" s="19" t="s">
        <v>19</v>
      </c>
      <c r="C33" s="23">
        <f>SUM(C7:C32)</f>
        <v>39</v>
      </c>
    </row>
    <row r="34" spans="1:3" ht="15.75" customHeight="1" x14ac:dyDescent="0.25">
      <c r="A34" s="28" t="s">
        <v>121</v>
      </c>
      <c r="B34" s="13" t="s">
        <v>125</v>
      </c>
      <c r="C34" s="23">
        <v>5</v>
      </c>
    </row>
    <row r="35" spans="1:3" ht="15.75" customHeight="1" x14ac:dyDescent="0.25">
      <c r="A35" s="85" t="s">
        <v>126</v>
      </c>
      <c r="B35" s="13" t="s">
        <v>130</v>
      </c>
      <c r="C35" s="14">
        <v>3</v>
      </c>
    </row>
    <row r="36" spans="1:3" ht="15.75" customHeight="1" x14ac:dyDescent="0.25">
      <c r="A36" s="86"/>
      <c r="B36" s="13" t="s">
        <v>132</v>
      </c>
      <c r="C36" s="14">
        <v>1</v>
      </c>
    </row>
    <row r="37" spans="1:3" ht="15.75" customHeight="1" x14ac:dyDescent="0.25">
      <c r="A37" s="87"/>
      <c r="B37" s="19" t="s">
        <v>19</v>
      </c>
      <c r="C37" s="23">
        <f>SUM(C35:C36)</f>
        <v>4</v>
      </c>
    </row>
    <row r="38" spans="1:3" ht="15.75" customHeight="1" x14ac:dyDescent="0.25">
      <c r="A38" s="85" t="s">
        <v>143</v>
      </c>
      <c r="B38" s="13" t="s">
        <v>150</v>
      </c>
      <c r="C38" s="14">
        <v>3</v>
      </c>
    </row>
    <row r="39" spans="1:3" ht="15.75" customHeight="1" x14ac:dyDescent="0.25">
      <c r="A39" s="86"/>
      <c r="B39" s="13" t="s">
        <v>153</v>
      </c>
      <c r="C39" s="14">
        <v>2</v>
      </c>
    </row>
    <row r="40" spans="1:3" ht="15.75" customHeight="1" x14ac:dyDescent="0.25">
      <c r="A40" s="87"/>
      <c r="B40" s="19" t="s">
        <v>19</v>
      </c>
      <c r="C40" s="23">
        <f>SUM(C38:C39)</f>
        <v>5</v>
      </c>
    </row>
    <row r="41" spans="1:3" ht="15.75" customHeight="1" x14ac:dyDescent="0.25">
      <c r="A41" s="30"/>
      <c r="B41" s="30"/>
      <c r="C41" s="31"/>
    </row>
    <row r="42" spans="1:3" ht="15.75" customHeight="1" x14ac:dyDescent="0.25">
      <c r="A42" s="30"/>
      <c r="B42" s="30"/>
      <c r="C42" s="31">
        <f>SUM(C6,C33,C34,C37,C40)</f>
        <v>65</v>
      </c>
    </row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2:A6"/>
    <mergeCell ref="A7:A33"/>
    <mergeCell ref="A35:A37"/>
    <mergeCell ref="A38:A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baseColWidth="10" defaultColWidth="12.5703125" defaultRowHeight="15" customHeight="1" x14ac:dyDescent="0.2"/>
  <cols>
    <col min="1" max="3" width="12.5703125" customWidth="1"/>
    <col min="4" max="4" width="42" customWidth="1"/>
    <col min="5" max="5" width="15.5703125" customWidth="1"/>
    <col min="6" max="6" width="12.5703125" customWidth="1"/>
  </cols>
  <sheetData>
    <row r="1" spans="1:5" ht="15.75" customHeight="1" x14ac:dyDescent="0.25">
      <c r="A1" s="82"/>
      <c r="B1" s="71"/>
      <c r="C1" s="72"/>
      <c r="D1" s="35" t="s">
        <v>2</v>
      </c>
      <c r="E1" s="38" t="s">
        <v>0</v>
      </c>
    </row>
    <row r="2" spans="1:5" ht="15.75" customHeight="1" x14ac:dyDescent="0.25">
      <c r="A2" s="73" t="s">
        <v>3</v>
      </c>
      <c r="B2" s="74"/>
      <c r="C2" s="75"/>
      <c r="D2" s="40" t="s">
        <v>6</v>
      </c>
      <c r="E2" s="41">
        <v>1</v>
      </c>
    </row>
    <row r="3" spans="1:5" ht="15.75" customHeight="1" x14ac:dyDescent="0.25">
      <c r="A3" s="76"/>
      <c r="B3" s="77"/>
      <c r="C3" s="78"/>
      <c r="D3" s="40" t="s">
        <v>203</v>
      </c>
      <c r="E3" s="41">
        <v>5</v>
      </c>
    </row>
    <row r="4" spans="1:5" ht="15.75" customHeight="1" x14ac:dyDescent="0.25">
      <c r="A4" s="76"/>
      <c r="B4" s="77"/>
      <c r="C4" s="78"/>
      <c r="D4" s="40" t="s">
        <v>205</v>
      </c>
      <c r="E4" s="41">
        <v>1</v>
      </c>
    </row>
    <row r="5" spans="1:5" ht="15.75" customHeight="1" x14ac:dyDescent="0.25">
      <c r="A5" s="79"/>
      <c r="B5" s="80"/>
      <c r="C5" s="81"/>
      <c r="D5" s="40" t="s">
        <v>8</v>
      </c>
      <c r="E5" s="41">
        <v>7</v>
      </c>
    </row>
    <row r="6" spans="1:5" ht="15.75" customHeight="1" x14ac:dyDescent="0.25">
      <c r="A6" s="88" t="s">
        <v>210</v>
      </c>
      <c r="B6" s="74"/>
      <c r="C6" s="75"/>
      <c r="D6" s="42" t="s">
        <v>211</v>
      </c>
      <c r="E6" s="43"/>
    </row>
    <row r="7" spans="1:5" ht="15.75" customHeight="1" x14ac:dyDescent="0.25">
      <c r="A7" s="76"/>
      <c r="B7" s="77"/>
      <c r="C7" s="78"/>
      <c r="D7" s="29" t="s">
        <v>212</v>
      </c>
      <c r="E7" s="41">
        <v>1</v>
      </c>
    </row>
    <row r="8" spans="1:5" ht="15.75" customHeight="1" x14ac:dyDescent="0.25">
      <c r="A8" s="76"/>
      <c r="B8" s="77"/>
      <c r="C8" s="78"/>
      <c r="D8" s="30" t="s">
        <v>214</v>
      </c>
      <c r="E8" s="41">
        <v>1</v>
      </c>
    </row>
    <row r="9" spans="1:5" ht="15.75" customHeight="1" x14ac:dyDescent="0.25">
      <c r="A9" s="76"/>
      <c r="B9" s="77"/>
      <c r="C9" s="78"/>
      <c r="D9" s="42" t="s">
        <v>216</v>
      </c>
      <c r="E9" s="43"/>
    </row>
    <row r="10" spans="1:5" ht="15.75" customHeight="1" x14ac:dyDescent="0.25">
      <c r="A10" s="76"/>
      <c r="B10" s="77"/>
      <c r="C10" s="78"/>
      <c r="D10" s="29" t="s">
        <v>219</v>
      </c>
      <c r="E10" s="41">
        <v>1</v>
      </c>
    </row>
    <row r="11" spans="1:5" ht="15.75" customHeight="1" x14ac:dyDescent="0.25">
      <c r="A11" s="76"/>
      <c r="B11" s="77"/>
      <c r="C11" s="78"/>
      <c r="D11" s="29" t="s">
        <v>223</v>
      </c>
      <c r="E11" s="41">
        <v>0.5</v>
      </c>
    </row>
    <row r="12" spans="1:5" ht="15.75" customHeight="1" x14ac:dyDescent="0.25">
      <c r="A12" s="76"/>
      <c r="B12" s="77"/>
      <c r="C12" s="78"/>
      <c r="D12" s="29" t="s">
        <v>224</v>
      </c>
      <c r="E12" s="41">
        <v>0.5</v>
      </c>
    </row>
    <row r="13" spans="1:5" ht="15.75" customHeight="1" x14ac:dyDescent="0.25">
      <c r="A13" s="76"/>
      <c r="B13" s="77"/>
      <c r="C13" s="78"/>
      <c r="D13" s="42" t="s">
        <v>225</v>
      </c>
      <c r="E13" s="43"/>
    </row>
    <row r="14" spans="1:5" ht="15.75" customHeight="1" x14ac:dyDescent="0.25">
      <c r="A14" s="76"/>
      <c r="B14" s="77"/>
      <c r="C14" s="78"/>
      <c r="D14" s="46" t="s">
        <v>228</v>
      </c>
      <c r="E14" s="41">
        <v>1</v>
      </c>
    </row>
    <row r="15" spans="1:5" ht="15.75" customHeight="1" x14ac:dyDescent="0.25">
      <c r="A15" s="76"/>
      <c r="B15" s="77"/>
      <c r="C15" s="78"/>
      <c r="D15" s="46" t="s">
        <v>229</v>
      </c>
      <c r="E15" s="41">
        <v>1</v>
      </c>
    </row>
    <row r="16" spans="1:5" ht="15.75" customHeight="1" x14ac:dyDescent="0.25">
      <c r="A16" s="76"/>
      <c r="B16" s="77"/>
      <c r="C16" s="78"/>
      <c r="D16" s="42" t="s">
        <v>230</v>
      </c>
      <c r="E16" s="43"/>
    </row>
    <row r="17" spans="1:5" ht="15.75" customHeight="1" x14ac:dyDescent="0.25">
      <c r="A17" s="76"/>
      <c r="B17" s="77"/>
      <c r="C17" s="78"/>
      <c r="D17" s="46" t="s">
        <v>231</v>
      </c>
      <c r="E17" s="41">
        <v>0.5</v>
      </c>
    </row>
    <row r="18" spans="1:5" ht="15.75" customHeight="1" x14ac:dyDescent="0.25">
      <c r="A18" s="76"/>
      <c r="B18" s="77"/>
      <c r="C18" s="78"/>
      <c r="D18" s="46" t="s">
        <v>232</v>
      </c>
      <c r="E18" s="41">
        <v>0.5</v>
      </c>
    </row>
    <row r="19" spans="1:5" ht="15.75" customHeight="1" x14ac:dyDescent="0.25">
      <c r="A19" s="76"/>
      <c r="B19" s="77"/>
      <c r="C19" s="78"/>
      <c r="D19" s="3" t="s">
        <v>233</v>
      </c>
      <c r="E19" s="41">
        <v>0.5</v>
      </c>
    </row>
    <row r="20" spans="1:5" ht="15.75" customHeight="1" x14ac:dyDescent="0.25">
      <c r="A20" s="76"/>
      <c r="B20" s="77"/>
      <c r="C20" s="78"/>
      <c r="D20" s="29" t="s">
        <v>236</v>
      </c>
      <c r="E20" s="41">
        <v>1</v>
      </c>
    </row>
    <row r="21" spans="1:5" ht="15.75" customHeight="1" x14ac:dyDescent="0.25">
      <c r="A21" s="76"/>
      <c r="B21" s="77"/>
      <c r="C21" s="78"/>
      <c r="D21" s="42" t="s">
        <v>240</v>
      </c>
      <c r="E21" s="43"/>
    </row>
    <row r="22" spans="1:5" ht="15.75" customHeight="1" x14ac:dyDescent="0.25">
      <c r="A22" s="76"/>
      <c r="B22" s="77"/>
      <c r="C22" s="78"/>
      <c r="D22" s="29" t="s">
        <v>243</v>
      </c>
      <c r="E22" s="41">
        <v>1</v>
      </c>
    </row>
    <row r="23" spans="1:5" ht="15.75" customHeight="1" x14ac:dyDescent="0.25">
      <c r="A23" s="76"/>
      <c r="B23" s="77"/>
      <c r="C23" s="78"/>
      <c r="D23" s="42" t="s">
        <v>245</v>
      </c>
      <c r="E23" s="43"/>
    </row>
    <row r="24" spans="1:5" ht="15.75" customHeight="1" x14ac:dyDescent="0.25">
      <c r="A24" s="76"/>
      <c r="B24" s="77"/>
      <c r="C24" s="78"/>
      <c r="D24" s="46" t="s">
        <v>248</v>
      </c>
      <c r="E24" s="41">
        <v>2</v>
      </c>
    </row>
    <row r="25" spans="1:5" ht="15.75" customHeight="1" x14ac:dyDescent="0.25">
      <c r="A25" s="76"/>
      <c r="B25" s="77"/>
      <c r="C25" s="78"/>
      <c r="D25" s="46" t="s">
        <v>249</v>
      </c>
      <c r="E25" s="41">
        <v>2</v>
      </c>
    </row>
    <row r="26" spans="1:5" ht="15.75" customHeight="1" x14ac:dyDescent="0.25">
      <c r="A26" s="76"/>
      <c r="B26" s="77"/>
      <c r="C26" s="78"/>
      <c r="D26" s="42" t="s">
        <v>250</v>
      </c>
      <c r="E26" s="43"/>
    </row>
    <row r="27" spans="1:5" ht="15.75" customHeight="1" x14ac:dyDescent="0.25">
      <c r="A27" s="76"/>
      <c r="B27" s="77"/>
      <c r="C27" s="78"/>
      <c r="D27" s="46" t="s">
        <v>251</v>
      </c>
      <c r="E27" s="41">
        <v>7</v>
      </c>
    </row>
    <row r="28" spans="1:5" ht="15.75" customHeight="1" x14ac:dyDescent="0.2">
      <c r="A28" s="76"/>
      <c r="B28" s="77"/>
      <c r="C28" s="78"/>
      <c r="D28" s="21"/>
      <c r="E28" s="43"/>
    </row>
    <row r="29" spans="1:5" ht="15.75" customHeight="1" x14ac:dyDescent="0.25">
      <c r="A29" s="76"/>
      <c r="B29" s="77"/>
      <c r="C29" s="78"/>
      <c r="D29" s="42" t="s">
        <v>253</v>
      </c>
      <c r="E29" s="43"/>
    </row>
    <row r="30" spans="1:5" ht="15.75" customHeight="1" x14ac:dyDescent="0.25">
      <c r="A30" s="76"/>
      <c r="B30" s="77"/>
      <c r="C30" s="78"/>
      <c r="D30" s="46" t="s">
        <v>256</v>
      </c>
      <c r="E30" s="41">
        <v>1</v>
      </c>
    </row>
    <row r="31" spans="1:5" ht="15.75" customHeight="1" x14ac:dyDescent="0.2">
      <c r="A31" s="76"/>
      <c r="B31" s="77"/>
      <c r="C31" s="78"/>
      <c r="D31" s="3"/>
      <c r="E31" s="43"/>
    </row>
    <row r="32" spans="1:5" ht="15.75" customHeight="1" x14ac:dyDescent="0.25">
      <c r="A32" s="76"/>
      <c r="B32" s="77"/>
      <c r="C32" s="78"/>
      <c r="D32" s="49" t="s">
        <v>261</v>
      </c>
      <c r="E32" s="43"/>
    </row>
    <row r="33" spans="1:5" ht="15.75" customHeight="1" x14ac:dyDescent="0.25">
      <c r="A33" s="76"/>
      <c r="B33" s="77"/>
      <c r="C33" s="78"/>
      <c r="D33" s="46" t="s">
        <v>262</v>
      </c>
      <c r="E33" s="41">
        <v>2</v>
      </c>
    </row>
    <row r="34" spans="1:5" ht="15.75" customHeight="1" x14ac:dyDescent="0.25">
      <c r="A34" s="76"/>
      <c r="B34" s="77"/>
      <c r="C34" s="78"/>
      <c r="D34" s="50" t="s">
        <v>263</v>
      </c>
      <c r="E34" s="41">
        <v>2</v>
      </c>
    </row>
    <row r="35" spans="1:5" ht="15.75" customHeight="1" x14ac:dyDescent="0.25">
      <c r="A35" s="76"/>
      <c r="B35" s="77"/>
      <c r="C35" s="78"/>
      <c r="D35" s="50" t="s">
        <v>264</v>
      </c>
      <c r="E35" s="41">
        <v>2</v>
      </c>
    </row>
    <row r="36" spans="1:5" ht="15.75" customHeight="1" x14ac:dyDescent="0.25">
      <c r="A36" s="76"/>
      <c r="B36" s="77"/>
      <c r="C36" s="78"/>
      <c r="D36" s="49" t="s">
        <v>265</v>
      </c>
      <c r="E36" s="43"/>
    </row>
    <row r="37" spans="1:5" ht="15.75" customHeight="1" x14ac:dyDescent="0.25">
      <c r="A37" s="76"/>
      <c r="B37" s="77"/>
      <c r="C37" s="78"/>
      <c r="D37" s="46" t="s">
        <v>266</v>
      </c>
      <c r="E37" s="41">
        <v>1</v>
      </c>
    </row>
    <row r="38" spans="1:5" ht="15.75" customHeight="1" x14ac:dyDescent="0.25">
      <c r="A38" s="76"/>
      <c r="B38" s="77"/>
      <c r="C38" s="78"/>
      <c r="D38" s="3" t="s">
        <v>267</v>
      </c>
      <c r="E38" s="41">
        <v>1</v>
      </c>
    </row>
    <row r="39" spans="1:5" ht="15.75" customHeight="1" x14ac:dyDescent="0.25">
      <c r="A39" s="76"/>
      <c r="B39" s="77"/>
      <c r="C39" s="78"/>
      <c r="D39" s="3" t="s">
        <v>269</v>
      </c>
      <c r="E39" s="41">
        <v>0.5</v>
      </c>
    </row>
    <row r="40" spans="1:5" ht="15.75" customHeight="1" x14ac:dyDescent="0.25">
      <c r="A40" s="76"/>
      <c r="B40" s="77"/>
      <c r="C40" s="78"/>
      <c r="D40" s="3" t="s">
        <v>273</v>
      </c>
      <c r="E40" s="41">
        <v>0.75</v>
      </c>
    </row>
    <row r="41" spans="1:5" ht="15.75" customHeight="1" x14ac:dyDescent="0.25">
      <c r="A41" s="76"/>
      <c r="B41" s="77"/>
      <c r="C41" s="78"/>
      <c r="D41" s="49" t="s">
        <v>275</v>
      </c>
      <c r="E41" s="43"/>
    </row>
    <row r="42" spans="1:5" ht="15.75" customHeight="1" x14ac:dyDescent="0.25">
      <c r="A42" s="76"/>
      <c r="B42" s="77"/>
      <c r="C42" s="78"/>
      <c r="D42" s="50" t="s">
        <v>278</v>
      </c>
      <c r="E42" s="41">
        <v>2</v>
      </c>
    </row>
    <row r="43" spans="1:5" ht="15.75" customHeight="1" x14ac:dyDescent="0.25">
      <c r="A43" s="76"/>
      <c r="B43" s="77"/>
      <c r="C43" s="78"/>
      <c r="D43" s="50" t="s">
        <v>279</v>
      </c>
      <c r="E43" s="41">
        <v>2</v>
      </c>
    </row>
    <row r="44" spans="1:5" ht="15.75" customHeight="1" x14ac:dyDescent="0.25">
      <c r="A44" s="76"/>
      <c r="B44" s="77"/>
      <c r="C44" s="78"/>
      <c r="D44" s="50" t="s">
        <v>280</v>
      </c>
      <c r="E44" s="41">
        <v>1</v>
      </c>
    </row>
    <row r="45" spans="1:5" ht="15.75" customHeight="1" x14ac:dyDescent="0.2">
      <c r="A45" s="76"/>
      <c r="B45" s="77"/>
      <c r="C45" s="78"/>
      <c r="D45" s="21"/>
      <c r="E45" s="43"/>
    </row>
    <row r="46" spans="1:5" ht="15.75" customHeight="1" x14ac:dyDescent="0.25">
      <c r="A46" s="76"/>
      <c r="B46" s="77"/>
      <c r="C46" s="78"/>
      <c r="D46" s="49" t="s">
        <v>281</v>
      </c>
      <c r="E46" s="43"/>
    </row>
    <row r="47" spans="1:5" ht="15.75" customHeight="1" x14ac:dyDescent="0.25">
      <c r="A47" s="76"/>
      <c r="B47" s="77"/>
      <c r="C47" s="78"/>
      <c r="D47" s="50" t="s">
        <v>283</v>
      </c>
      <c r="E47" s="41">
        <v>1</v>
      </c>
    </row>
    <row r="48" spans="1:5" ht="15.75" customHeight="1" x14ac:dyDescent="0.25">
      <c r="A48" s="76"/>
      <c r="B48" s="77"/>
      <c r="C48" s="78"/>
      <c r="D48" s="50" t="s">
        <v>284</v>
      </c>
      <c r="E48" s="41">
        <v>7</v>
      </c>
    </row>
    <row r="49" spans="1:5" ht="15.75" customHeight="1" x14ac:dyDescent="0.2">
      <c r="A49" s="76"/>
      <c r="B49" s="77"/>
      <c r="C49" s="78"/>
      <c r="D49" s="21"/>
      <c r="E49" s="52"/>
    </row>
    <row r="50" spans="1:5" ht="15.75" customHeight="1" x14ac:dyDescent="0.25">
      <c r="A50" s="79"/>
      <c r="B50" s="80"/>
      <c r="C50" s="81"/>
      <c r="D50" s="53" t="s">
        <v>285</v>
      </c>
      <c r="E50" s="54">
        <f>SUM(E7:E49)</f>
        <v>43.75</v>
      </c>
    </row>
    <row r="51" spans="1:5" ht="15.75" customHeight="1" x14ac:dyDescent="0.25">
      <c r="A51" s="70" t="s">
        <v>137</v>
      </c>
      <c r="B51" s="71"/>
      <c r="C51" s="72"/>
      <c r="D51" s="29" t="s">
        <v>142</v>
      </c>
      <c r="E51" s="56">
        <v>5</v>
      </c>
    </row>
    <row r="52" spans="1:5" ht="15.75" customHeight="1" x14ac:dyDescent="0.25">
      <c r="A52" s="70" t="s">
        <v>130</v>
      </c>
      <c r="B52" s="71"/>
      <c r="C52" s="72"/>
      <c r="D52" s="29" t="s">
        <v>182</v>
      </c>
      <c r="E52" s="56">
        <v>2</v>
      </c>
    </row>
    <row r="53" spans="1:5" ht="15.75" customHeight="1" x14ac:dyDescent="0.25">
      <c r="A53" s="70" t="s">
        <v>289</v>
      </c>
      <c r="B53" s="71"/>
      <c r="C53" s="72"/>
      <c r="D53" s="29" t="s">
        <v>132</v>
      </c>
      <c r="E53" s="56">
        <v>2</v>
      </c>
    </row>
    <row r="54" spans="1:5" ht="15.75" customHeight="1" x14ac:dyDescent="0.25">
      <c r="A54" s="3"/>
      <c r="B54" s="3"/>
      <c r="C54" s="3"/>
      <c r="D54" s="59" t="s">
        <v>290</v>
      </c>
      <c r="E54" s="61">
        <f>E50+SUM(E51:E53)+SUM(E2:E5)</f>
        <v>66.75</v>
      </c>
    </row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53:C53"/>
    <mergeCell ref="A1:C1"/>
    <mergeCell ref="A2:C5"/>
    <mergeCell ref="A6:C50"/>
    <mergeCell ref="A51:C51"/>
    <mergeCell ref="A52:C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baseColWidth="10" defaultColWidth="12.5703125" defaultRowHeight="15" customHeight="1" x14ac:dyDescent="0.2"/>
  <cols>
    <col min="1" max="1" width="9.140625" customWidth="1"/>
    <col min="2" max="2" width="89.7109375" customWidth="1"/>
    <col min="3" max="3" width="8.7109375" customWidth="1"/>
    <col min="4" max="6" width="12.5703125" customWidth="1"/>
  </cols>
  <sheetData>
    <row r="1" spans="1:3" ht="15.75" customHeight="1" x14ac:dyDescent="0.2">
      <c r="A1" s="3"/>
      <c r="B1" s="34" t="s">
        <v>2</v>
      </c>
      <c r="C1" s="34" t="s">
        <v>5</v>
      </c>
    </row>
    <row r="2" spans="1:3" ht="15.75" customHeight="1" x14ac:dyDescent="0.2">
      <c r="A2" s="36"/>
      <c r="B2" s="3" t="s">
        <v>197</v>
      </c>
      <c r="C2" s="37">
        <v>2</v>
      </c>
    </row>
    <row r="3" spans="1:3" ht="15.75" customHeight="1" x14ac:dyDescent="0.2">
      <c r="A3" s="36"/>
      <c r="B3" s="3" t="s">
        <v>198</v>
      </c>
      <c r="C3" s="37">
        <v>2</v>
      </c>
    </row>
    <row r="4" spans="1:3" ht="15.75" customHeight="1" x14ac:dyDescent="0.2">
      <c r="A4" s="26" t="s">
        <v>199</v>
      </c>
      <c r="B4" s="39" t="s">
        <v>13</v>
      </c>
      <c r="C4" s="37">
        <v>2</v>
      </c>
    </row>
    <row r="5" spans="1:3" ht="15.75" customHeight="1" x14ac:dyDescent="0.2">
      <c r="A5" s="36"/>
      <c r="B5" s="3" t="s">
        <v>200</v>
      </c>
      <c r="C5" s="37">
        <v>1</v>
      </c>
    </row>
    <row r="6" spans="1:3" ht="15.75" customHeight="1" x14ac:dyDescent="0.2">
      <c r="A6" s="36"/>
      <c r="B6" s="3" t="s">
        <v>201</v>
      </c>
      <c r="C6" s="37">
        <v>2</v>
      </c>
    </row>
    <row r="7" spans="1:3" ht="15.75" customHeight="1" x14ac:dyDescent="0.2">
      <c r="A7" s="36"/>
      <c r="B7" s="3"/>
      <c r="C7" s="3"/>
    </row>
    <row r="8" spans="1:3" ht="15.75" customHeight="1" x14ac:dyDescent="0.2">
      <c r="A8" s="36"/>
      <c r="B8" s="3" t="s">
        <v>202</v>
      </c>
      <c r="C8" s="37">
        <f>SUM(C2,C3,C6,C7,C5,C4)</f>
        <v>9</v>
      </c>
    </row>
    <row r="9" spans="1:3" ht="15.75" customHeight="1" x14ac:dyDescent="0.2">
      <c r="A9" s="3"/>
      <c r="B9" s="3"/>
      <c r="C9" s="3"/>
    </row>
    <row r="10" spans="1:3" ht="15.75" customHeight="1" x14ac:dyDescent="0.2">
      <c r="A10" s="36"/>
      <c r="B10" s="3" t="s">
        <v>204</v>
      </c>
      <c r="C10" s="37">
        <v>1</v>
      </c>
    </row>
    <row r="11" spans="1:3" ht="15.75" customHeight="1" x14ac:dyDescent="0.2">
      <c r="A11" s="36"/>
      <c r="B11" s="3" t="s">
        <v>206</v>
      </c>
      <c r="C11" s="37">
        <v>1</v>
      </c>
    </row>
    <row r="12" spans="1:3" ht="15.75" customHeight="1" x14ac:dyDescent="0.2">
      <c r="A12" s="36"/>
      <c r="B12" s="3" t="s">
        <v>207</v>
      </c>
      <c r="C12" s="37">
        <v>1</v>
      </c>
    </row>
    <row r="13" spans="1:3" ht="15.75" customHeight="1" x14ac:dyDescent="0.2">
      <c r="A13" s="26" t="s">
        <v>208</v>
      </c>
      <c r="B13" s="3" t="s">
        <v>209</v>
      </c>
      <c r="C13" s="37">
        <v>1</v>
      </c>
    </row>
    <row r="14" spans="1:3" ht="15.75" customHeight="1" x14ac:dyDescent="0.2">
      <c r="A14" s="36"/>
      <c r="B14" s="3"/>
      <c r="C14" s="3"/>
    </row>
    <row r="15" spans="1:3" ht="15.75" customHeight="1" x14ac:dyDescent="0.2">
      <c r="A15" s="36"/>
      <c r="B15" s="3"/>
      <c r="C15" s="3"/>
    </row>
    <row r="16" spans="1:3" ht="15.75" customHeight="1" x14ac:dyDescent="0.2">
      <c r="A16" s="36"/>
      <c r="B16" s="3" t="s">
        <v>202</v>
      </c>
      <c r="C16" s="37">
        <f>SUM(C10,C11,C12,C13,C14,C15)</f>
        <v>4</v>
      </c>
    </row>
    <row r="17" spans="1:3" ht="15.75" customHeight="1" x14ac:dyDescent="0.2">
      <c r="A17" s="3"/>
      <c r="B17" s="44" t="s">
        <v>213</v>
      </c>
      <c r="C17" s="3"/>
    </row>
    <row r="18" spans="1:3" ht="15.75" customHeight="1" x14ac:dyDescent="0.2">
      <c r="A18" s="36"/>
      <c r="B18" s="3" t="s">
        <v>215</v>
      </c>
      <c r="C18" s="37">
        <v>1</v>
      </c>
    </row>
    <row r="19" spans="1:3" ht="15.75" customHeight="1" x14ac:dyDescent="0.2">
      <c r="A19" s="36"/>
      <c r="B19" s="3" t="s">
        <v>218</v>
      </c>
      <c r="C19" s="37">
        <v>4</v>
      </c>
    </row>
    <row r="20" spans="1:3" ht="15.75" customHeight="1" x14ac:dyDescent="0.2">
      <c r="A20" s="36"/>
      <c r="B20" s="3" t="s">
        <v>220</v>
      </c>
      <c r="C20" s="37">
        <v>2</v>
      </c>
    </row>
    <row r="21" spans="1:3" ht="15.75" customHeight="1" x14ac:dyDescent="0.2">
      <c r="A21" s="26" t="s">
        <v>221</v>
      </c>
      <c r="B21" s="3" t="s">
        <v>222</v>
      </c>
      <c r="C21" s="37">
        <v>5</v>
      </c>
    </row>
    <row r="22" spans="1:3" ht="15.75" customHeight="1" x14ac:dyDescent="0.2">
      <c r="A22" s="36"/>
      <c r="B22" s="3"/>
      <c r="C22" s="3"/>
    </row>
    <row r="23" spans="1:3" ht="15.75" customHeight="1" x14ac:dyDescent="0.2">
      <c r="A23" s="36"/>
      <c r="B23" s="3"/>
      <c r="C23" s="3"/>
    </row>
    <row r="24" spans="1:3" ht="15.75" customHeight="1" x14ac:dyDescent="0.2">
      <c r="A24" s="36"/>
      <c r="B24" s="3"/>
      <c r="C24" s="3"/>
    </row>
    <row r="25" spans="1:3" ht="15.75" customHeight="1" x14ac:dyDescent="0.2">
      <c r="A25" s="36"/>
      <c r="B25" s="3" t="s">
        <v>202</v>
      </c>
      <c r="C25" s="37">
        <f>SUM(C18,C19,C20,C21,C22,C23,C24)</f>
        <v>12</v>
      </c>
    </row>
    <row r="26" spans="1:3" ht="15.75" customHeight="1" x14ac:dyDescent="0.2">
      <c r="A26" s="3"/>
      <c r="B26" s="44" t="s">
        <v>234</v>
      </c>
      <c r="C26" s="3"/>
    </row>
    <row r="27" spans="1:3" ht="15.75" customHeight="1" x14ac:dyDescent="0.2">
      <c r="A27" s="36"/>
      <c r="B27" s="3" t="s">
        <v>235</v>
      </c>
      <c r="C27" s="37">
        <v>1</v>
      </c>
    </row>
    <row r="28" spans="1:3" ht="15.75" customHeight="1" x14ac:dyDescent="0.2">
      <c r="A28" s="26" t="s">
        <v>238</v>
      </c>
      <c r="B28" s="3" t="s">
        <v>239</v>
      </c>
      <c r="C28" s="37">
        <v>6</v>
      </c>
    </row>
    <row r="29" spans="1:3" ht="15.75" customHeight="1" x14ac:dyDescent="0.2">
      <c r="A29" s="36"/>
      <c r="B29" s="3" t="s">
        <v>242</v>
      </c>
      <c r="C29" s="37">
        <v>4</v>
      </c>
    </row>
    <row r="30" spans="1:3" ht="15.75" customHeight="1" x14ac:dyDescent="0.2">
      <c r="A30" s="36"/>
      <c r="B30" s="3" t="s">
        <v>244</v>
      </c>
      <c r="C30" s="37">
        <v>4</v>
      </c>
    </row>
    <row r="31" spans="1:3" ht="15.75" customHeight="1" x14ac:dyDescent="0.2">
      <c r="A31" s="3"/>
      <c r="B31" s="3" t="s">
        <v>246</v>
      </c>
      <c r="C31" s="37">
        <v>1</v>
      </c>
    </row>
    <row r="32" spans="1:3" ht="15.75" customHeight="1" x14ac:dyDescent="0.2">
      <c r="A32" s="39"/>
      <c r="B32" s="39" t="s">
        <v>202</v>
      </c>
      <c r="C32" s="37">
        <f>SUM(C33,C34,,C31,C29,C30,C28,C27)</f>
        <v>16</v>
      </c>
    </row>
    <row r="33" spans="1:3" ht="15.75" customHeight="1" x14ac:dyDescent="0.2">
      <c r="A33" s="3"/>
      <c r="B33" s="3"/>
      <c r="C33" s="3"/>
    </row>
    <row r="34" spans="1:3" ht="15.75" customHeight="1" x14ac:dyDescent="0.2">
      <c r="A34" s="3"/>
      <c r="B34" s="3"/>
      <c r="C34" s="3"/>
    </row>
    <row r="35" spans="1:3" ht="15.75" customHeight="1" x14ac:dyDescent="0.2">
      <c r="A35" s="3"/>
      <c r="B35" s="3"/>
      <c r="C35" s="3"/>
    </row>
    <row r="36" spans="1:3" ht="15.75" customHeight="1" x14ac:dyDescent="0.2">
      <c r="A36" s="3"/>
      <c r="B36" s="44" t="s">
        <v>252</v>
      </c>
      <c r="C36" s="3"/>
    </row>
    <row r="37" spans="1:3" ht="15.75" customHeight="1" x14ac:dyDescent="0.2">
      <c r="A37" s="36"/>
      <c r="B37" s="3" t="s">
        <v>254</v>
      </c>
      <c r="C37" s="37">
        <v>3</v>
      </c>
    </row>
    <row r="38" spans="1:3" ht="15.75" customHeight="1" x14ac:dyDescent="0.2">
      <c r="A38" s="36"/>
      <c r="B38" s="3" t="s">
        <v>255</v>
      </c>
      <c r="C38" s="37">
        <v>2</v>
      </c>
    </row>
    <row r="39" spans="1:3" ht="15.75" customHeight="1" x14ac:dyDescent="0.2">
      <c r="A39" s="26" t="s">
        <v>257</v>
      </c>
      <c r="B39" s="3" t="s">
        <v>258</v>
      </c>
      <c r="C39" s="37">
        <v>4</v>
      </c>
    </row>
    <row r="40" spans="1:3" ht="15.75" customHeight="1" x14ac:dyDescent="0.2">
      <c r="A40" s="36"/>
      <c r="B40" s="3" t="s">
        <v>259</v>
      </c>
      <c r="C40" s="37">
        <v>4</v>
      </c>
    </row>
    <row r="41" spans="1:3" ht="15.75" customHeight="1" x14ac:dyDescent="0.2">
      <c r="A41" s="36"/>
      <c r="B41" s="3" t="s">
        <v>260</v>
      </c>
      <c r="C41" s="37">
        <v>1</v>
      </c>
    </row>
    <row r="42" spans="1:3" ht="15.75" customHeight="1" x14ac:dyDescent="0.2">
      <c r="A42" s="36"/>
      <c r="B42" s="3"/>
      <c r="C42" s="3"/>
    </row>
    <row r="43" spans="1:3" ht="15.75" customHeight="1" x14ac:dyDescent="0.2">
      <c r="A43" s="36"/>
      <c r="B43" s="3"/>
      <c r="C43" s="3"/>
    </row>
    <row r="44" spans="1:3" ht="15.75" customHeight="1" x14ac:dyDescent="0.2">
      <c r="A44" s="36"/>
      <c r="B44" s="3"/>
      <c r="C44" s="3"/>
    </row>
    <row r="45" spans="1:3" ht="15.75" customHeight="1" x14ac:dyDescent="0.2">
      <c r="A45" s="36"/>
      <c r="B45" s="3" t="s">
        <v>202</v>
      </c>
      <c r="C45" s="37">
        <f>SUM(C37,C38,C39,C41,C42,C43,C44,C40)</f>
        <v>14</v>
      </c>
    </row>
    <row r="46" spans="1:3" ht="15.75" customHeight="1" x14ac:dyDescent="0.2">
      <c r="A46" s="39"/>
      <c r="B46" s="44" t="s">
        <v>268</v>
      </c>
      <c r="C46" s="3"/>
    </row>
    <row r="47" spans="1:3" ht="15.75" customHeight="1" x14ac:dyDescent="0.2">
      <c r="A47" s="36"/>
      <c r="B47" s="3" t="s">
        <v>270</v>
      </c>
      <c r="C47" s="37">
        <v>4</v>
      </c>
    </row>
    <row r="48" spans="1:3" ht="15.75" customHeight="1" x14ac:dyDescent="0.2">
      <c r="A48" s="26" t="s">
        <v>271</v>
      </c>
      <c r="B48" s="3" t="s">
        <v>272</v>
      </c>
      <c r="C48" s="37">
        <v>4</v>
      </c>
    </row>
    <row r="49" spans="1:3" ht="15.75" customHeight="1" x14ac:dyDescent="0.2">
      <c r="A49" s="36"/>
      <c r="B49" s="3" t="s">
        <v>274</v>
      </c>
      <c r="C49" s="37">
        <v>1</v>
      </c>
    </row>
    <row r="50" spans="1:3" ht="15.75" customHeight="1" x14ac:dyDescent="0.2">
      <c r="A50" s="36"/>
      <c r="B50" s="3" t="s">
        <v>276</v>
      </c>
      <c r="C50" s="37">
        <v>1</v>
      </c>
    </row>
    <row r="51" spans="1:3" ht="15.75" customHeight="1" x14ac:dyDescent="0.2">
      <c r="A51" s="36"/>
      <c r="B51" s="3" t="s">
        <v>277</v>
      </c>
      <c r="C51" s="37">
        <v>1</v>
      </c>
    </row>
    <row r="52" spans="1:3" ht="15.75" customHeight="1" x14ac:dyDescent="0.2">
      <c r="A52" s="36"/>
      <c r="B52" s="3" t="s">
        <v>202</v>
      </c>
      <c r="C52" s="37">
        <f>SUM(C48,C47,C49,C51,C50)</f>
        <v>11</v>
      </c>
    </row>
    <row r="53" spans="1:3" ht="15.75" customHeight="1" x14ac:dyDescent="0.2">
      <c r="A53" s="39"/>
      <c r="B53" s="3"/>
      <c r="C53" s="3"/>
    </row>
    <row r="54" spans="1:3" ht="15.75" customHeight="1" x14ac:dyDescent="0.2">
      <c r="A54" s="39"/>
      <c r="B54" s="3" t="s">
        <v>282</v>
      </c>
      <c r="C54" s="37">
        <f>SUM(C52,C45,C32,C25,C16,C8)</f>
        <v>66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0"/>
  <sheetViews>
    <sheetView workbookViewId="0"/>
  </sheetViews>
  <sheetFormatPr baseColWidth="10" defaultColWidth="12.5703125" defaultRowHeight="15" customHeight="1" x14ac:dyDescent="0.2"/>
  <cols>
    <col min="1" max="3" width="12.5703125" customWidth="1"/>
    <col min="4" max="4" width="54.42578125" customWidth="1"/>
    <col min="5" max="6" width="12.5703125" customWidth="1"/>
  </cols>
  <sheetData>
    <row r="1" spans="1:7" ht="15.75" customHeight="1" x14ac:dyDescent="0.2">
      <c r="A1" s="3"/>
      <c r="B1" s="3"/>
      <c r="C1" s="3"/>
      <c r="D1" s="3"/>
      <c r="E1" s="3"/>
      <c r="F1" s="45" t="s">
        <v>217</v>
      </c>
      <c r="G1" s="45" t="s">
        <v>217</v>
      </c>
    </row>
    <row r="2" spans="1:7" ht="15.75" customHeight="1" x14ac:dyDescent="0.25">
      <c r="A2" s="83" t="s">
        <v>0</v>
      </c>
      <c r="B2" s="77"/>
      <c r="C2" s="3"/>
      <c r="D2" s="3"/>
      <c r="E2" s="3"/>
      <c r="F2" s="45" t="s">
        <v>226</v>
      </c>
      <c r="G2" s="45" t="s">
        <v>227</v>
      </c>
    </row>
    <row r="3" spans="1:7" ht="15.75" customHeight="1" x14ac:dyDescent="0.25">
      <c r="A3" s="82"/>
      <c r="B3" s="71"/>
      <c r="C3" s="72"/>
      <c r="D3" s="6" t="s">
        <v>2</v>
      </c>
      <c r="E3" s="6" t="s">
        <v>0</v>
      </c>
      <c r="F3" s="47" t="s">
        <v>237</v>
      </c>
      <c r="G3" s="47" t="s">
        <v>241</v>
      </c>
    </row>
    <row r="4" spans="1:7" ht="15.75" customHeight="1" x14ac:dyDescent="0.25">
      <c r="A4" s="92"/>
      <c r="B4" s="74"/>
      <c r="C4" s="75"/>
      <c r="D4" s="13" t="s">
        <v>247</v>
      </c>
      <c r="E4" s="12">
        <f t="shared" ref="E4:E5" si="0">F4+G4</f>
        <v>3</v>
      </c>
      <c r="F4" s="48">
        <v>1</v>
      </c>
      <c r="G4" s="48">
        <v>2</v>
      </c>
    </row>
    <row r="5" spans="1:7" ht="15.75" customHeight="1" x14ac:dyDescent="0.25">
      <c r="A5" s="76"/>
      <c r="B5" s="77"/>
      <c r="C5" s="78"/>
      <c r="D5" s="13" t="s">
        <v>28</v>
      </c>
      <c r="E5" s="12">
        <f t="shared" si="0"/>
        <v>9</v>
      </c>
      <c r="F5" s="48">
        <v>4</v>
      </c>
      <c r="G5" s="48">
        <v>5</v>
      </c>
    </row>
    <row r="6" spans="1:7" ht="15.75" customHeight="1" x14ac:dyDescent="0.25">
      <c r="A6" s="79"/>
      <c r="B6" s="80"/>
      <c r="C6" s="81"/>
      <c r="D6" s="19" t="s">
        <v>23</v>
      </c>
      <c r="E6" s="12">
        <f t="shared" ref="E6:G6" si="1">SUM(E4:E5)</f>
        <v>12</v>
      </c>
      <c r="F6" s="51">
        <f t="shared" si="1"/>
        <v>5</v>
      </c>
      <c r="G6" s="51">
        <f t="shared" si="1"/>
        <v>7</v>
      </c>
    </row>
    <row r="7" spans="1:7" ht="15.75" customHeight="1" x14ac:dyDescent="0.35">
      <c r="A7" s="92"/>
      <c r="B7" s="74"/>
      <c r="C7" s="75"/>
      <c r="D7" s="89" t="s">
        <v>53</v>
      </c>
      <c r="E7" s="71"/>
      <c r="F7" s="71"/>
      <c r="G7" s="72"/>
    </row>
    <row r="8" spans="1:7" ht="15.75" customHeight="1" x14ac:dyDescent="0.25">
      <c r="A8" s="76"/>
      <c r="B8" s="77"/>
      <c r="C8" s="78"/>
      <c r="D8" s="13" t="s">
        <v>64</v>
      </c>
      <c r="E8" s="12">
        <f t="shared" ref="E8:E9" si="2">F8+G8</f>
        <v>3</v>
      </c>
      <c r="F8" s="48">
        <v>3</v>
      </c>
      <c r="G8" s="21"/>
    </row>
    <row r="9" spans="1:7" ht="15.75" customHeight="1" x14ac:dyDescent="0.25">
      <c r="A9" s="76"/>
      <c r="B9" s="77"/>
      <c r="C9" s="78"/>
      <c r="D9" s="13" t="s">
        <v>68</v>
      </c>
      <c r="E9" s="12">
        <f t="shared" si="2"/>
        <v>2</v>
      </c>
      <c r="F9" s="48">
        <v>2</v>
      </c>
      <c r="G9" s="21"/>
    </row>
    <row r="10" spans="1:7" ht="15.75" customHeight="1" x14ac:dyDescent="0.25">
      <c r="A10" s="76"/>
      <c r="B10" s="77"/>
      <c r="C10" s="78"/>
      <c r="D10" s="19" t="s">
        <v>23</v>
      </c>
      <c r="E10" s="12">
        <f t="shared" ref="E10:G10" si="3">SUM(E8:E9)</f>
        <v>5</v>
      </c>
      <c r="F10" s="12">
        <f t="shared" si="3"/>
        <v>5</v>
      </c>
      <c r="G10" s="12">
        <f t="shared" si="3"/>
        <v>0</v>
      </c>
    </row>
    <row r="11" spans="1:7" ht="15.75" customHeight="1" x14ac:dyDescent="0.35">
      <c r="A11" s="76"/>
      <c r="B11" s="77"/>
      <c r="C11" s="78"/>
      <c r="D11" s="89" t="s">
        <v>286</v>
      </c>
      <c r="E11" s="71"/>
      <c r="F11" s="71"/>
      <c r="G11" s="72"/>
    </row>
    <row r="12" spans="1:7" ht="15.75" customHeight="1" x14ac:dyDescent="0.25">
      <c r="A12" s="76"/>
      <c r="B12" s="77"/>
      <c r="C12" s="78"/>
      <c r="D12" s="9" t="s">
        <v>287</v>
      </c>
      <c r="E12" s="55">
        <f t="shared" ref="E12:E15" si="4">F12+G12</f>
        <v>2</v>
      </c>
      <c r="F12" s="57"/>
      <c r="G12" s="57">
        <v>2</v>
      </c>
    </row>
    <row r="13" spans="1:7" ht="15.75" customHeight="1" x14ac:dyDescent="0.25">
      <c r="A13" s="76"/>
      <c r="B13" s="77"/>
      <c r="C13" s="78"/>
      <c r="D13" s="9" t="s">
        <v>288</v>
      </c>
      <c r="E13" s="55">
        <f t="shared" si="4"/>
        <v>1</v>
      </c>
      <c r="F13" s="58"/>
      <c r="G13" s="58">
        <v>1</v>
      </c>
    </row>
    <row r="14" spans="1:7" ht="15.75" customHeight="1" x14ac:dyDescent="0.25">
      <c r="A14" s="76"/>
      <c r="B14" s="77"/>
      <c r="C14" s="78"/>
      <c r="D14" s="9" t="s">
        <v>291</v>
      </c>
      <c r="E14" s="55">
        <f t="shared" si="4"/>
        <v>1</v>
      </c>
      <c r="F14" s="58"/>
      <c r="G14" s="58">
        <v>1</v>
      </c>
    </row>
    <row r="15" spans="1:7" ht="15.75" customHeight="1" x14ac:dyDescent="0.25">
      <c r="A15" s="76"/>
      <c r="B15" s="77"/>
      <c r="C15" s="78"/>
      <c r="D15" s="9" t="s">
        <v>292</v>
      </c>
      <c r="E15" s="55">
        <f t="shared" si="4"/>
        <v>1</v>
      </c>
      <c r="F15" s="57"/>
      <c r="G15" s="57">
        <v>1</v>
      </c>
    </row>
    <row r="16" spans="1:7" ht="15.75" customHeight="1" x14ac:dyDescent="0.25">
      <c r="A16" s="76"/>
      <c r="B16" s="77"/>
      <c r="C16" s="78"/>
      <c r="D16" s="60" t="s">
        <v>23</v>
      </c>
      <c r="E16" s="55">
        <f t="shared" ref="E16:G16" si="5">SUM(E11:E15)</f>
        <v>5</v>
      </c>
      <c r="F16" s="55">
        <f t="shared" si="5"/>
        <v>0</v>
      </c>
      <c r="G16" s="55">
        <f t="shared" si="5"/>
        <v>5</v>
      </c>
    </row>
    <row r="17" spans="1:7" ht="15.75" customHeight="1" x14ac:dyDescent="0.35">
      <c r="A17" s="76"/>
      <c r="B17" s="77"/>
      <c r="C17" s="78"/>
      <c r="D17" s="89" t="s">
        <v>293</v>
      </c>
      <c r="E17" s="71"/>
      <c r="F17" s="71"/>
      <c r="G17" s="72"/>
    </row>
    <row r="18" spans="1:7" ht="15.75" customHeight="1" x14ac:dyDescent="0.25">
      <c r="A18" s="76"/>
      <c r="B18" s="77"/>
      <c r="C18" s="78"/>
      <c r="D18" s="62" t="s">
        <v>294</v>
      </c>
      <c r="E18" s="55">
        <f t="shared" ref="E18:E25" si="6">F18+G18</f>
        <v>2</v>
      </c>
      <c r="F18" s="58"/>
      <c r="G18" s="57">
        <v>2</v>
      </c>
    </row>
    <row r="19" spans="1:7" ht="15.75" customHeight="1" x14ac:dyDescent="0.25">
      <c r="A19" s="76"/>
      <c r="B19" s="77"/>
      <c r="C19" s="78"/>
      <c r="D19" s="62" t="s">
        <v>295</v>
      </c>
      <c r="E19" s="55">
        <f t="shared" si="6"/>
        <v>2</v>
      </c>
      <c r="F19" s="58"/>
      <c r="G19" s="57">
        <v>2</v>
      </c>
    </row>
    <row r="20" spans="1:7" ht="15.75" customHeight="1" x14ac:dyDescent="0.25">
      <c r="A20" s="76"/>
      <c r="B20" s="77"/>
      <c r="C20" s="78"/>
      <c r="D20" s="62" t="s">
        <v>296</v>
      </c>
      <c r="E20" s="55">
        <f t="shared" si="6"/>
        <v>1</v>
      </c>
      <c r="F20" s="57"/>
      <c r="G20" s="58">
        <v>1</v>
      </c>
    </row>
    <row r="21" spans="1:7" ht="15.75" customHeight="1" x14ac:dyDescent="0.25">
      <c r="A21" s="76"/>
      <c r="B21" s="77"/>
      <c r="C21" s="78"/>
      <c r="D21" s="62" t="s">
        <v>297</v>
      </c>
      <c r="E21" s="55">
        <f t="shared" si="6"/>
        <v>1</v>
      </c>
      <c r="F21" s="57"/>
      <c r="G21" s="58">
        <v>1</v>
      </c>
    </row>
    <row r="22" spans="1:7" ht="15.75" customHeight="1" x14ac:dyDescent="0.25">
      <c r="A22" s="76"/>
      <c r="B22" s="77"/>
      <c r="C22" s="78"/>
      <c r="D22" s="62" t="s">
        <v>298</v>
      </c>
      <c r="E22" s="55">
        <f t="shared" si="6"/>
        <v>2</v>
      </c>
      <c r="F22" s="58"/>
      <c r="G22" s="57">
        <v>2</v>
      </c>
    </row>
    <row r="23" spans="1:7" ht="15.75" customHeight="1" x14ac:dyDescent="0.25">
      <c r="A23" s="76"/>
      <c r="B23" s="77"/>
      <c r="C23" s="78"/>
      <c r="D23" s="62" t="s">
        <v>299</v>
      </c>
      <c r="E23" s="55">
        <f t="shared" si="6"/>
        <v>1</v>
      </c>
      <c r="F23" s="58"/>
      <c r="G23" s="57">
        <v>1</v>
      </c>
    </row>
    <row r="24" spans="1:7" ht="15.75" customHeight="1" x14ac:dyDescent="0.25">
      <c r="A24" s="76"/>
      <c r="B24" s="77"/>
      <c r="C24" s="78"/>
      <c r="D24" s="62" t="s">
        <v>300</v>
      </c>
      <c r="E24" s="55">
        <f t="shared" si="6"/>
        <v>2</v>
      </c>
      <c r="F24" s="58"/>
      <c r="G24" s="57">
        <v>2</v>
      </c>
    </row>
    <row r="25" spans="1:7" ht="15.75" customHeight="1" x14ac:dyDescent="0.25">
      <c r="A25" s="76"/>
      <c r="B25" s="77"/>
      <c r="C25" s="78"/>
      <c r="D25" s="57" t="s">
        <v>301</v>
      </c>
      <c r="E25" s="55">
        <f t="shared" si="6"/>
        <v>2</v>
      </c>
      <c r="F25" s="58"/>
      <c r="G25" s="57">
        <v>2</v>
      </c>
    </row>
    <row r="26" spans="1:7" ht="15.75" customHeight="1" x14ac:dyDescent="0.25">
      <c r="A26" s="76"/>
      <c r="B26" s="77"/>
      <c r="C26" s="78"/>
      <c r="D26" s="60" t="s">
        <v>23</v>
      </c>
      <c r="E26" s="55">
        <f t="shared" ref="E26:F26" si="7">SUM(E18:E25)</f>
        <v>13</v>
      </c>
      <c r="F26" s="55">
        <f t="shared" si="7"/>
        <v>0</v>
      </c>
      <c r="G26" s="55">
        <f>SUM(G19:G25)</f>
        <v>11</v>
      </c>
    </row>
    <row r="27" spans="1:7" ht="15.75" customHeight="1" x14ac:dyDescent="0.35">
      <c r="A27" s="76"/>
      <c r="B27" s="77"/>
      <c r="C27" s="78"/>
      <c r="D27" s="89" t="s">
        <v>302</v>
      </c>
      <c r="E27" s="71"/>
      <c r="F27" s="71"/>
      <c r="G27" s="72"/>
    </row>
    <row r="28" spans="1:7" ht="15.75" customHeight="1" x14ac:dyDescent="0.25">
      <c r="A28" s="76"/>
      <c r="B28" s="77"/>
      <c r="C28" s="78"/>
      <c r="D28" s="62" t="s">
        <v>303</v>
      </c>
      <c r="E28" s="55">
        <f t="shared" ref="E28:E39" si="8">F28+G28</f>
        <v>2</v>
      </c>
      <c r="F28" s="57"/>
      <c r="G28" s="58">
        <v>2</v>
      </c>
    </row>
    <row r="29" spans="1:7" ht="15.75" customHeight="1" x14ac:dyDescent="0.25">
      <c r="A29" s="76"/>
      <c r="B29" s="77"/>
      <c r="C29" s="78"/>
      <c r="D29" s="63" t="s">
        <v>304</v>
      </c>
      <c r="E29" s="55">
        <f t="shared" si="8"/>
        <v>2</v>
      </c>
      <c r="F29" s="57"/>
      <c r="G29" s="58">
        <v>2</v>
      </c>
    </row>
    <row r="30" spans="1:7" ht="15.75" customHeight="1" x14ac:dyDescent="0.25">
      <c r="A30" s="76"/>
      <c r="B30" s="77"/>
      <c r="C30" s="78"/>
      <c r="D30" s="62" t="s">
        <v>297</v>
      </c>
      <c r="E30" s="55">
        <f t="shared" si="8"/>
        <v>1</v>
      </c>
      <c r="F30" s="57"/>
      <c r="G30" s="58">
        <v>1</v>
      </c>
    </row>
    <row r="31" spans="1:7" ht="15.75" customHeight="1" x14ac:dyDescent="0.25">
      <c r="A31" s="76"/>
      <c r="B31" s="77"/>
      <c r="C31" s="78"/>
      <c r="D31" s="62" t="s">
        <v>305</v>
      </c>
      <c r="E31" s="55">
        <f t="shared" si="8"/>
        <v>2</v>
      </c>
      <c r="F31" s="57"/>
      <c r="G31" s="58">
        <v>2</v>
      </c>
    </row>
    <row r="32" spans="1:7" ht="15.75" customHeight="1" x14ac:dyDescent="0.25">
      <c r="A32" s="76"/>
      <c r="B32" s="77"/>
      <c r="C32" s="78"/>
      <c r="D32" s="62" t="s">
        <v>306</v>
      </c>
      <c r="E32" s="55">
        <f t="shared" si="8"/>
        <v>1</v>
      </c>
      <c r="F32" s="57"/>
      <c r="G32" s="58">
        <v>1</v>
      </c>
    </row>
    <row r="33" spans="1:7" ht="15.75" customHeight="1" x14ac:dyDescent="0.25">
      <c r="A33" s="76"/>
      <c r="B33" s="77"/>
      <c r="C33" s="78"/>
      <c r="D33" s="62" t="s">
        <v>307</v>
      </c>
      <c r="E33" s="55">
        <f t="shared" si="8"/>
        <v>1</v>
      </c>
      <c r="F33" s="57"/>
      <c r="G33" s="58">
        <v>1</v>
      </c>
    </row>
    <row r="34" spans="1:7" ht="15.75" customHeight="1" x14ac:dyDescent="0.25">
      <c r="A34" s="76"/>
      <c r="B34" s="77"/>
      <c r="C34" s="78"/>
      <c r="D34" s="57" t="s">
        <v>308</v>
      </c>
      <c r="E34" s="55">
        <f t="shared" si="8"/>
        <v>2</v>
      </c>
      <c r="F34" s="57"/>
      <c r="G34" s="58">
        <v>2</v>
      </c>
    </row>
    <row r="35" spans="1:7" ht="15.75" customHeight="1" x14ac:dyDescent="0.25">
      <c r="A35" s="76"/>
      <c r="B35" s="77"/>
      <c r="C35" s="78"/>
      <c r="D35" s="62" t="s">
        <v>296</v>
      </c>
      <c r="E35" s="55">
        <f t="shared" si="8"/>
        <v>1</v>
      </c>
      <c r="F35" s="57"/>
      <c r="G35" s="58">
        <v>1</v>
      </c>
    </row>
    <row r="36" spans="1:7" ht="15.75" customHeight="1" x14ac:dyDescent="0.25">
      <c r="A36" s="76"/>
      <c r="B36" s="77"/>
      <c r="C36" s="78"/>
      <c r="D36" s="62" t="s">
        <v>309</v>
      </c>
      <c r="E36" s="55">
        <f t="shared" si="8"/>
        <v>2</v>
      </c>
      <c r="F36" s="57"/>
      <c r="G36" s="58">
        <v>2</v>
      </c>
    </row>
    <row r="37" spans="1:7" ht="15.75" customHeight="1" x14ac:dyDescent="0.25">
      <c r="A37" s="76"/>
      <c r="B37" s="77"/>
      <c r="C37" s="78"/>
      <c r="D37" s="62" t="s">
        <v>298</v>
      </c>
      <c r="E37" s="55">
        <f t="shared" si="8"/>
        <v>2</v>
      </c>
      <c r="F37" s="57"/>
      <c r="G37" s="58">
        <v>2</v>
      </c>
    </row>
    <row r="38" spans="1:7" ht="15.75" customHeight="1" x14ac:dyDescent="0.25">
      <c r="A38" s="76"/>
      <c r="B38" s="77"/>
      <c r="C38" s="78"/>
      <c r="D38" s="62" t="s">
        <v>301</v>
      </c>
      <c r="E38" s="55">
        <f t="shared" si="8"/>
        <v>2</v>
      </c>
      <c r="F38" s="57"/>
      <c r="G38" s="58">
        <v>2</v>
      </c>
    </row>
    <row r="39" spans="1:7" ht="15.75" customHeight="1" x14ac:dyDescent="0.25">
      <c r="A39" s="76"/>
      <c r="B39" s="77"/>
      <c r="C39" s="78"/>
      <c r="D39" s="62" t="s">
        <v>310</v>
      </c>
      <c r="E39" s="55">
        <f t="shared" si="8"/>
        <v>2</v>
      </c>
      <c r="F39" s="57"/>
      <c r="G39" s="58">
        <v>2</v>
      </c>
    </row>
    <row r="40" spans="1:7" ht="15.75" customHeight="1" x14ac:dyDescent="0.25">
      <c r="A40" s="76"/>
      <c r="B40" s="77"/>
      <c r="C40" s="78"/>
      <c r="D40" s="19" t="s">
        <v>23</v>
      </c>
      <c r="E40" s="12">
        <f>SUM(E28:E39)</f>
        <v>20</v>
      </c>
      <c r="F40" s="12">
        <f>SUM(F34:F39)</f>
        <v>0</v>
      </c>
      <c r="G40" s="12">
        <f>SUM(G28:G39)</f>
        <v>20</v>
      </c>
    </row>
    <row r="41" spans="1:7" ht="15.75" customHeight="1" x14ac:dyDescent="0.35">
      <c r="A41" s="76"/>
      <c r="B41" s="77"/>
      <c r="C41" s="78"/>
      <c r="D41" s="89" t="s">
        <v>311</v>
      </c>
      <c r="E41" s="71"/>
      <c r="F41" s="71"/>
      <c r="G41" s="72"/>
    </row>
    <row r="42" spans="1:7" ht="15.75" customHeight="1" x14ac:dyDescent="0.25">
      <c r="A42" s="76"/>
      <c r="B42" s="77"/>
      <c r="C42" s="78"/>
      <c r="D42" s="64" t="s">
        <v>306</v>
      </c>
      <c r="E42" s="55">
        <f t="shared" ref="E42:E52" si="9">F42+G42</f>
        <v>1</v>
      </c>
      <c r="F42" s="58">
        <v>1</v>
      </c>
      <c r="G42" s="57"/>
    </row>
    <row r="43" spans="1:7" ht="15.75" customHeight="1" x14ac:dyDescent="0.25">
      <c r="A43" s="76"/>
      <c r="B43" s="77"/>
      <c r="C43" s="78"/>
      <c r="D43" s="62" t="s">
        <v>297</v>
      </c>
      <c r="E43" s="55">
        <f t="shared" si="9"/>
        <v>1</v>
      </c>
      <c r="F43" s="57">
        <v>1</v>
      </c>
      <c r="G43" s="58"/>
    </row>
    <row r="44" spans="1:7" ht="15.75" customHeight="1" x14ac:dyDescent="0.25">
      <c r="A44" s="76"/>
      <c r="B44" s="77"/>
      <c r="C44" s="78"/>
      <c r="D44" s="64" t="s">
        <v>295</v>
      </c>
      <c r="E44" s="55">
        <f t="shared" si="9"/>
        <v>2</v>
      </c>
      <c r="F44" s="58">
        <v>2</v>
      </c>
      <c r="G44" s="57"/>
    </row>
    <row r="45" spans="1:7" ht="15.75" customHeight="1" x14ac:dyDescent="0.25">
      <c r="A45" s="76"/>
      <c r="B45" s="77"/>
      <c r="C45" s="78"/>
      <c r="D45" s="62" t="s">
        <v>296</v>
      </c>
      <c r="E45" s="55">
        <f t="shared" si="9"/>
        <v>1</v>
      </c>
      <c r="F45" s="57">
        <v>1</v>
      </c>
      <c r="G45" s="58"/>
    </row>
    <row r="46" spans="1:7" ht="15.75" customHeight="1" x14ac:dyDescent="0.25">
      <c r="A46" s="76"/>
      <c r="B46" s="77"/>
      <c r="C46" s="78"/>
      <c r="D46" s="64" t="s">
        <v>312</v>
      </c>
      <c r="E46" s="55">
        <f t="shared" si="9"/>
        <v>2</v>
      </c>
      <c r="F46" s="58">
        <v>2</v>
      </c>
      <c r="G46" s="57"/>
    </row>
    <row r="47" spans="1:7" ht="15.75" customHeight="1" x14ac:dyDescent="0.25">
      <c r="A47" s="76"/>
      <c r="B47" s="77"/>
      <c r="C47" s="78"/>
      <c r="D47" s="65" t="s">
        <v>313</v>
      </c>
      <c r="E47" s="55">
        <f t="shared" si="9"/>
        <v>2</v>
      </c>
      <c r="F47" s="58">
        <v>2</v>
      </c>
      <c r="G47" s="57"/>
    </row>
    <row r="48" spans="1:7" ht="15.75" customHeight="1" x14ac:dyDescent="0.25">
      <c r="A48" s="76"/>
      <c r="B48" s="77"/>
      <c r="C48" s="78"/>
      <c r="D48" s="64" t="s">
        <v>298</v>
      </c>
      <c r="E48" s="55">
        <f t="shared" si="9"/>
        <v>2</v>
      </c>
      <c r="F48" s="58">
        <v>2</v>
      </c>
      <c r="G48" s="57"/>
    </row>
    <row r="49" spans="1:7" ht="15.75" customHeight="1" x14ac:dyDescent="0.25">
      <c r="A49" s="76"/>
      <c r="B49" s="77"/>
      <c r="C49" s="78"/>
      <c r="D49" s="64" t="s">
        <v>310</v>
      </c>
      <c r="E49" s="55">
        <f t="shared" si="9"/>
        <v>1</v>
      </c>
      <c r="F49" s="58">
        <v>1</v>
      </c>
      <c r="G49" s="57"/>
    </row>
    <row r="50" spans="1:7" ht="15.75" customHeight="1" x14ac:dyDescent="0.25">
      <c r="A50" s="76"/>
      <c r="B50" s="77"/>
      <c r="C50" s="78"/>
      <c r="D50" s="66" t="s">
        <v>314</v>
      </c>
      <c r="E50" s="55">
        <f t="shared" si="9"/>
        <v>4</v>
      </c>
      <c r="F50" s="58">
        <v>4</v>
      </c>
      <c r="G50" s="57"/>
    </row>
    <row r="51" spans="1:7" ht="15.75" customHeight="1" x14ac:dyDescent="0.25">
      <c r="A51" s="76"/>
      <c r="B51" s="77"/>
      <c r="C51" s="78"/>
      <c r="D51" s="64" t="s">
        <v>315</v>
      </c>
      <c r="E51" s="55">
        <f t="shared" si="9"/>
        <v>1</v>
      </c>
      <c r="F51" s="58">
        <v>1</v>
      </c>
      <c r="G51" s="57"/>
    </row>
    <row r="52" spans="1:7" ht="15.75" customHeight="1" x14ac:dyDescent="0.25">
      <c r="A52" s="76"/>
      <c r="B52" s="77"/>
      <c r="C52" s="78"/>
      <c r="D52" s="64" t="s">
        <v>316</v>
      </c>
      <c r="E52" s="55">
        <f t="shared" si="9"/>
        <v>1</v>
      </c>
      <c r="F52" s="58">
        <v>1</v>
      </c>
      <c r="G52" s="57"/>
    </row>
    <row r="53" spans="1:7" ht="15.75" customHeight="1" x14ac:dyDescent="0.25">
      <c r="A53" s="76"/>
      <c r="B53" s="77"/>
      <c r="C53" s="78"/>
      <c r="D53" s="60" t="s">
        <v>23</v>
      </c>
      <c r="E53" s="55">
        <f t="shared" ref="E53:F53" si="10">SUM(E42:E52)</f>
        <v>18</v>
      </c>
      <c r="F53" s="55">
        <f t="shared" si="10"/>
        <v>18</v>
      </c>
      <c r="G53" s="55">
        <f>SUM(G42:G50)</f>
        <v>0</v>
      </c>
    </row>
    <row r="54" spans="1:7" ht="15.75" customHeight="1" x14ac:dyDescent="0.35">
      <c r="A54" s="76"/>
      <c r="B54" s="77"/>
      <c r="C54" s="78"/>
      <c r="D54" s="89" t="s">
        <v>317</v>
      </c>
      <c r="E54" s="71"/>
      <c r="F54" s="71"/>
      <c r="G54" s="72"/>
    </row>
    <row r="55" spans="1:7" ht="15.75" customHeight="1" x14ac:dyDescent="0.25">
      <c r="A55" s="76"/>
      <c r="B55" s="77"/>
      <c r="C55" s="78"/>
      <c r="D55" s="13" t="s">
        <v>318</v>
      </c>
      <c r="E55" s="12">
        <f t="shared" ref="E55:E58" si="11">F55+G55</f>
        <v>3</v>
      </c>
      <c r="F55" s="48">
        <v>3</v>
      </c>
      <c r="G55" s="21"/>
    </row>
    <row r="56" spans="1:7" ht="15.75" customHeight="1" x14ac:dyDescent="0.25">
      <c r="A56" s="76"/>
      <c r="B56" s="77"/>
      <c r="C56" s="78"/>
      <c r="D56" s="13" t="s">
        <v>319</v>
      </c>
      <c r="E56" s="12">
        <f t="shared" si="11"/>
        <v>3</v>
      </c>
      <c r="F56" s="48">
        <v>3</v>
      </c>
      <c r="G56" s="21"/>
    </row>
    <row r="57" spans="1:7" ht="15.75" customHeight="1" x14ac:dyDescent="0.25">
      <c r="A57" s="76"/>
      <c r="B57" s="77"/>
      <c r="C57" s="78"/>
      <c r="D57" s="13" t="s">
        <v>320</v>
      </c>
      <c r="E57" s="12">
        <f t="shared" si="11"/>
        <v>3</v>
      </c>
      <c r="F57" s="48">
        <v>3</v>
      </c>
      <c r="G57" s="21"/>
    </row>
    <row r="58" spans="1:7" ht="15.75" customHeight="1" x14ac:dyDescent="0.25">
      <c r="A58" s="76"/>
      <c r="B58" s="77"/>
      <c r="C58" s="78"/>
      <c r="D58" s="13" t="s">
        <v>321</v>
      </c>
      <c r="E58" s="12">
        <f t="shared" si="11"/>
        <v>2</v>
      </c>
      <c r="F58" s="48">
        <v>2</v>
      </c>
      <c r="G58" s="21"/>
    </row>
    <row r="59" spans="1:7" ht="15.75" customHeight="1" x14ac:dyDescent="0.25">
      <c r="A59" s="76"/>
      <c r="B59" s="77"/>
      <c r="C59" s="78"/>
      <c r="D59" s="19" t="s">
        <v>23</v>
      </c>
      <c r="E59" s="12">
        <f t="shared" ref="E59:G59" si="12">SUM(E55:E58)</f>
        <v>11</v>
      </c>
      <c r="F59" s="12">
        <f t="shared" si="12"/>
        <v>11</v>
      </c>
      <c r="G59" s="12">
        <f t="shared" si="12"/>
        <v>0</v>
      </c>
    </row>
    <row r="60" spans="1:7" ht="15.75" customHeight="1" x14ac:dyDescent="0.35">
      <c r="A60" s="76"/>
      <c r="B60" s="77"/>
      <c r="C60" s="78"/>
      <c r="D60" s="89" t="s">
        <v>322</v>
      </c>
      <c r="E60" s="71"/>
      <c r="F60" s="71"/>
      <c r="G60" s="72"/>
    </row>
    <row r="61" spans="1:7" ht="15.75" customHeight="1" x14ac:dyDescent="0.25">
      <c r="A61" s="76"/>
      <c r="B61" s="77"/>
      <c r="C61" s="78"/>
      <c r="D61" s="67" t="s">
        <v>323</v>
      </c>
      <c r="E61" s="55">
        <f t="shared" ref="E61:E73" si="13">F61+G61</f>
        <v>1</v>
      </c>
      <c r="F61" s="57"/>
      <c r="G61" s="58">
        <v>1</v>
      </c>
    </row>
    <row r="62" spans="1:7" ht="15.75" customHeight="1" x14ac:dyDescent="0.25">
      <c r="A62" s="76"/>
      <c r="B62" s="77"/>
      <c r="C62" s="78"/>
      <c r="D62" s="57" t="s">
        <v>324</v>
      </c>
      <c r="E62" s="55">
        <f t="shared" si="13"/>
        <v>1</v>
      </c>
      <c r="F62" s="57"/>
      <c r="G62" s="58">
        <v>1</v>
      </c>
    </row>
    <row r="63" spans="1:7" ht="15.75" customHeight="1" x14ac:dyDescent="0.25">
      <c r="A63" s="76"/>
      <c r="B63" s="77"/>
      <c r="C63" s="78"/>
      <c r="D63" s="67" t="s">
        <v>325</v>
      </c>
      <c r="E63" s="55">
        <f t="shared" si="13"/>
        <v>1</v>
      </c>
      <c r="F63" s="57"/>
      <c r="G63" s="58">
        <v>1</v>
      </c>
    </row>
    <row r="64" spans="1:7" ht="15.75" customHeight="1" x14ac:dyDescent="0.25">
      <c r="A64" s="76"/>
      <c r="B64" s="77"/>
      <c r="C64" s="78"/>
      <c r="D64" s="57" t="s">
        <v>326</v>
      </c>
      <c r="E64" s="55">
        <f t="shared" si="13"/>
        <v>1</v>
      </c>
      <c r="F64" s="57"/>
      <c r="G64" s="58">
        <v>1</v>
      </c>
    </row>
    <row r="65" spans="1:7" ht="15.75" customHeight="1" x14ac:dyDescent="0.25">
      <c r="A65" s="76"/>
      <c r="B65" s="77"/>
      <c r="C65" s="78"/>
      <c r="D65" s="57" t="s">
        <v>327</v>
      </c>
      <c r="E65" s="55">
        <f t="shared" si="13"/>
        <v>1</v>
      </c>
      <c r="F65" s="57"/>
      <c r="G65" s="58">
        <v>1</v>
      </c>
    </row>
    <row r="66" spans="1:7" ht="15.75" customHeight="1" x14ac:dyDescent="0.25">
      <c r="A66" s="76"/>
      <c r="B66" s="77"/>
      <c r="C66" s="78"/>
      <c r="D66" s="67" t="s">
        <v>328</v>
      </c>
      <c r="E66" s="55">
        <f t="shared" si="13"/>
        <v>1</v>
      </c>
      <c r="F66" s="57">
        <v>1</v>
      </c>
      <c r="G66" s="58"/>
    </row>
    <row r="67" spans="1:7" ht="15.75" customHeight="1" x14ac:dyDescent="0.25">
      <c r="A67" s="76"/>
      <c r="B67" s="77"/>
      <c r="C67" s="78"/>
      <c r="D67" s="67" t="s">
        <v>329</v>
      </c>
      <c r="E67" s="55">
        <f t="shared" si="13"/>
        <v>1</v>
      </c>
      <c r="F67" s="57">
        <v>1</v>
      </c>
      <c r="G67" s="58"/>
    </row>
    <row r="68" spans="1:7" ht="15.75" customHeight="1" x14ac:dyDescent="0.25">
      <c r="A68" s="76"/>
      <c r="B68" s="77"/>
      <c r="C68" s="78"/>
      <c r="D68" s="67" t="s">
        <v>330</v>
      </c>
      <c r="E68" s="55">
        <f t="shared" si="13"/>
        <v>1</v>
      </c>
      <c r="F68" s="57">
        <v>1</v>
      </c>
      <c r="G68" s="58"/>
    </row>
    <row r="69" spans="1:7" ht="15.75" customHeight="1" x14ac:dyDescent="0.25">
      <c r="A69" s="76"/>
      <c r="B69" s="77"/>
      <c r="C69" s="78"/>
      <c r="D69" s="67" t="s">
        <v>331</v>
      </c>
      <c r="E69" s="55">
        <f t="shared" si="13"/>
        <v>1</v>
      </c>
      <c r="F69" s="57">
        <v>1</v>
      </c>
      <c r="G69" s="58"/>
    </row>
    <row r="70" spans="1:7" ht="15.75" customHeight="1" x14ac:dyDescent="0.25">
      <c r="A70" s="76"/>
      <c r="B70" s="77"/>
      <c r="C70" s="78"/>
      <c r="D70" s="57" t="s">
        <v>332</v>
      </c>
      <c r="E70" s="55">
        <f t="shared" si="13"/>
        <v>1</v>
      </c>
      <c r="F70" s="57">
        <v>1</v>
      </c>
      <c r="G70" s="58"/>
    </row>
    <row r="71" spans="1:7" ht="15.75" customHeight="1" x14ac:dyDescent="0.25">
      <c r="A71" s="76"/>
      <c r="B71" s="77"/>
      <c r="C71" s="78"/>
      <c r="D71" s="57" t="s">
        <v>333</v>
      </c>
      <c r="E71" s="55">
        <f t="shared" si="13"/>
        <v>1</v>
      </c>
      <c r="F71" s="57">
        <v>1</v>
      </c>
      <c r="G71" s="58"/>
    </row>
    <row r="72" spans="1:7" ht="15.75" customHeight="1" x14ac:dyDescent="0.25">
      <c r="A72" s="76"/>
      <c r="B72" s="77"/>
      <c r="C72" s="78"/>
      <c r="D72" s="67" t="s">
        <v>334</v>
      </c>
      <c r="E72" s="55">
        <f t="shared" si="13"/>
        <v>2</v>
      </c>
      <c r="F72" s="58">
        <v>2</v>
      </c>
      <c r="G72" s="57"/>
    </row>
    <row r="73" spans="1:7" ht="15.75" customHeight="1" x14ac:dyDescent="0.25">
      <c r="A73" s="76"/>
      <c r="B73" s="77"/>
      <c r="C73" s="78"/>
      <c r="D73" s="68" t="s">
        <v>335</v>
      </c>
      <c r="E73" s="55">
        <f t="shared" si="13"/>
        <v>2</v>
      </c>
      <c r="F73" s="58">
        <v>2</v>
      </c>
      <c r="G73" s="57"/>
    </row>
    <row r="74" spans="1:7" ht="15.75" customHeight="1" x14ac:dyDescent="0.25">
      <c r="A74" s="79"/>
      <c r="B74" s="80"/>
      <c r="C74" s="81"/>
      <c r="D74" s="19" t="s">
        <v>23</v>
      </c>
      <c r="E74" s="12">
        <f t="shared" ref="E74:G74" si="14">SUM(E61:E73)</f>
        <v>15</v>
      </c>
      <c r="F74" s="69">
        <f t="shared" si="14"/>
        <v>10</v>
      </c>
      <c r="G74" s="69">
        <f t="shared" si="14"/>
        <v>5</v>
      </c>
    </row>
    <row r="75" spans="1:7" ht="15.75" customHeight="1" x14ac:dyDescent="0.35">
      <c r="A75" s="90" t="s">
        <v>137</v>
      </c>
      <c r="B75" s="74"/>
      <c r="C75" s="75"/>
      <c r="D75" s="89" t="s">
        <v>336</v>
      </c>
      <c r="E75" s="71"/>
      <c r="F75" s="71"/>
      <c r="G75" s="72"/>
    </row>
    <row r="76" spans="1:7" ht="15.75" customHeight="1" x14ac:dyDescent="0.25">
      <c r="A76" s="76"/>
      <c r="B76" s="77"/>
      <c r="C76" s="78"/>
      <c r="D76" s="50" t="s">
        <v>337</v>
      </c>
      <c r="E76" s="12">
        <f t="shared" ref="E76:E84" si="15">F76+G76</f>
        <v>3</v>
      </c>
      <c r="F76" s="48">
        <v>3</v>
      </c>
      <c r="G76" s="21"/>
    </row>
    <row r="77" spans="1:7" ht="15.75" customHeight="1" x14ac:dyDescent="0.25">
      <c r="A77" s="76"/>
      <c r="B77" s="77"/>
      <c r="C77" s="78"/>
      <c r="D77" s="50" t="s">
        <v>338</v>
      </c>
      <c r="E77" s="12">
        <f t="shared" si="15"/>
        <v>2</v>
      </c>
      <c r="F77" s="21"/>
      <c r="G77" s="48">
        <v>2</v>
      </c>
    </row>
    <row r="78" spans="1:7" ht="15.75" customHeight="1" x14ac:dyDescent="0.25">
      <c r="A78" s="79"/>
      <c r="B78" s="80"/>
      <c r="C78" s="81"/>
      <c r="D78" s="50" t="s">
        <v>339</v>
      </c>
      <c r="E78" s="12">
        <f t="shared" si="15"/>
        <v>2</v>
      </c>
      <c r="F78" s="48">
        <v>2</v>
      </c>
      <c r="G78" s="21"/>
    </row>
    <row r="79" spans="1:7" ht="15.75" customHeight="1" x14ac:dyDescent="0.25">
      <c r="A79" s="91" t="s">
        <v>130</v>
      </c>
      <c r="B79" s="71"/>
      <c r="C79" s="72"/>
      <c r="D79" s="13" t="s">
        <v>340</v>
      </c>
      <c r="E79" s="12">
        <f t="shared" si="15"/>
        <v>4</v>
      </c>
      <c r="F79" s="48">
        <v>2</v>
      </c>
      <c r="G79" s="48">
        <v>2</v>
      </c>
    </row>
    <row r="80" spans="1:7" ht="15.75" customHeight="1" x14ac:dyDescent="0.25">
      <c r="A80" s="91" t="s">
        <v>183</v>
      </c>
      <c r="B80" s="71"/>
      <c r="C80" s="72"/>
      <c r="D80" s="13" t="s">
        <v>132</v>
      </c>
      <c r="E80" s="12">
        <f t="shared" si="15"/>
        <v>2</v>
      </c>
      <c r="F80" s="48">
        <v>1</v>
      </c>
      <c r="G80" s="48">
        <v>1</v>
      </c>
    </row>
    <row r="81" spans="1:7" ht="15.75" customHeight="1" x14ac:dyDescent="0.25">
      <c r="A81" s="90" t="s">
        <v>143</v>
      </c>
      <c r="B81" s="74"/>
      <c r="C81" s="75"/>
      <c r="D81" s="13" t="s">
        <v>341</v>
      </c>
      <c r="E81" s="12">
        <f t="shared" si="15"/>
        <v>8</v>
      </c>
      <c r="F81" s="48">
        <v>6</v>
      </c>
      <c r="G81" s="48">
        <v>2</v>
      </c>
    </row>
    <row r="82" spans="1:7" ht="15.75" customHeight="1" x14ac:dyDescent="0.25">
      <c r="A82" s="76"/>
      <c r="B82" s="77"/>
      <c r="C82" s="78"/>
      <c r="D82" s="13" t="s">
        <v>342</v>
      </c>
      <c r="E82" s="12">
        <f t="shared" si="15"/>
        <v>3</v>
      </c>
      <c r="F82" s="48"/>
      <c r="G82" s="48">
        <v>3</v>
      </c>
    </row>
    <row r="83" spans="1:7" ht="15.75" customHeight="1" x14ac:dyDescent="0.25">
      <c r="A83" s="76"/>
      <c r="B83" s="77"/>
      <c r="C83" s="78"/>
      <c r="D83" s="13" t="s">
        <v>343</v>
      </c>
      <c r="E83" s="12">
        <f t="shared" si="15"/>
        <v>6</v>
      </c>
      <c r="F83" s="48">
        <v>3</v>
      </c>
      <c r="G83" s="48">
        <v>3</v>
      </c>
    </row>
    <row r="84" spans="1:7" ht="15.75" customHeight="1" x14ac:dyDescent="0.25">
      <c r="A84" s="79"/>
      <c r="B84" s="80"/>
      <c r="C84" s="81"/>
      <c r="D84" s="13" t="s">
        <v>344</v>
      </c>
      <c r="E84" s="12">
        <f t="shared" si="15"/>
        <v>4</v>
      </c>
      <c r="F84" s="48"/>
      <c r="G84" s="48">
        <v>4</v>
      </c>
    </row>
    <row r="85" spans="1:7" ht="15.75" customHeight="1" x14ac:dyDescent="0.25">
      <c r="A85" s="1"/>
      <c r="B85" s="1"/>
      <c r="C85" s="1"/>
      <c r="D85" s="30"/>
      <c r="E85" s="12">
        <f t="shared" ref="E85:G85" si="16">SUM(E81:E84)</f>
        <v>21</v>
      </c>
      <c r="F85" s="12">
        <f t="shared" si="16"/>
        <v>9</v>
      </c>
      <c r="G85" s="12">
        <f t="shared" si="16"/>
        <v>12</v>
      </c>
    </row>
    <row r="86" spans="1:7" ht="15.75" customHeight="1" x14ac:dyDescent="0.25">
      <c r="A86" s="3"/>
      <c r="B86" s="3"/>
      <c r="C86" s="3"/>
      <c r="D86" s="3"/>
      <c r="E86" s="33">
        <f t="shared" ref="E86:G86" si="17">SUM(E76:E80,E6,E10,E16,E26,E40,E53,E59,E74,E85)</f>
        <v>133</v>
      </c>
      <c r="F86" s="33">
        <f t="shared" si="17"/>
        <v>66</v>
      </c>
      <c r="G86" s="33">
        <f t="shared" si="17"/>
        <v>65</v>
      </c>
    </row>
    <row r="87" spans="1:7" ht="15.75" customHeight="1" x14ac:dyDescent="0.2"/>
    <row r="88" spans="1:7" ht="15.75" customHeight="1" x14ac:dyDescent="0.2"/>
    <row r="89" spans="1:7" ht="15.75" customHeight="1" x14ac:dyDescent="0.2"/>
    <row r="90" spans="1:7" ht="15.75" customHeight="1" x14ac:dyDescent="0.2"/>
    <row r="91" spans="1:7" ht="15.75" customHeight="1" x14ac:dyDescent="0.2"/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D7:G7"/>
    <mergeCell ref="D11:G11"/>
    <mergeCell ref="D17:G17"/>
    <mergeCell ref="A79:C79"/>
    <mergeCell ref="A80:C80"/>
    <mergeCell ref="A81:C84"/>
    <mergeCell ref="A2:B2"/>
    <mergeCell ref="A3:C3"/>
    <mergeCell ref="A4:C6"/>
    <mergeCell ref="A7:C74"/>
    <mergeCell ref="D27:G27"/>
    <mergeCell ref="D41:G41"/>
    <mergeCell ref="D54:G54"/>
    <mergeCell ref="D60:G60"/>
    <mergeCell ref="A75:C78"/>
    <mergeCell ref="D75:G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Estimation design 1</vt:lpstr>
      <vt:lpstr>Estimation Agile design 2</vt:lpstr>
      <vt:lpstr>Estimation info 1</vt:lpstr>
      <vt:lpstr>Estimation info 2</vt:lpstr>
      <vt:lpstr>Estimation info 3</vt:lpstr>
      <vt:lpstr>Estimation Agile info 4</vt:lpstr>
      <vt:lpstr>Estimation binome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Mdg Stagiaire IT</cp:lastModifiedBy>
  <dcterms:modified xsi:type="dcterms:W3CDTF">2026-08-24T07:23:42Z</dcterms:modified>
</cp:coreProperties>
</file>