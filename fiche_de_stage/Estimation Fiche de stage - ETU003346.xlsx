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Estimation design 1" sheetId="1" state="visible" r:id="rId1"/>
    <sheet name="Estimation recrutement" sheetId="2" state="visible" r:id="rId2"/>
    <sheet name="Estimation info 1" sheetId="3" state="visible" r:id="rId3"/>
    <sheet name="Estimation info 2" sheetId="4" state="visible" r:id="rId4"/>
    <sheet name="Estimation info 3" sheetId="5" state="visible" r:id="rId5"/>
    <sheet name="Estimation Agile info 4" sheetId="6" state="visible" r:id="rId6"/>
    <sheet name="Estimation binome" sheetId="7" state="visible" r:id="rId7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35">
    <font>
      <name val="Arial"/>
      <color rgb="FF000000"/>
      <sz val="10"/>
      <scheme val="minor"/>
    </font>
    <font>
      <name val="Calibri"/>
      <b val="1"/>
      <color theme="1"/>
      <sz val="11"/>
    </font>
    <font>
      <name val="Arial"/>
      <b val="1"/>
      <color theme="1"/>
      <sz val="10"/>
      <scheme val="minor"/>
    </font>
    <font>
      <name val="Arial"/>
      <color theme="1"/>
      <sz val="10"/>
    </font>
    <font>
      <name val="Arial"/>
      <sz val="10"/>
    </font>
    <font>
      <name val="Arial"/>
      <b val="1"/>
      <color theme="1"/>
      <sz val="14"/>
    </font>
    <font>
      <name val="Arial"/>
      <color theme="1"/>
      <sz val="10"/>
      <scheme val="minor"/>
    </font>
    <font>
      <name val="Calibri"/>
      <color theme="1"/>
      <sz val="11"/>
    </font>
    <font>
      <name val="Calibri"/>
      <color theme="1"/>
      <sz val="12"/>
    </font>
    <font>
      <name val="Arial"/>
      <b val="1"/>
      <color theme="1"/>
      <sz val="12"/>
    </font>
    <font>
      <name val="Arial"/>
      <b val="1"/>
      <color theme="1"/>
      <sz val="11"/>
    </font>
    <font>
      <name val="Calibri"/>
      <b val="1"/>
      <color theme="1"/>
      <sz val="12"/>
    </font>
    <font>
      <name val="Arial"/>
      <b val="1"/>
      <color rgb="FFFF0000"/>
      <sz val="18"/>
    </font>
    <font>
      <name val="Arial"/>
      <b val="1"/>
      <color theme="1"/>
      <sz val="10"/>
    </font>
    <font>
      <name val="Calibri"/>
      <b val="1"/>
      <color theme="1"/>
      <sz val="16"/>
    </font>
    <font>
      <name val="Arial"/>
      <b val="1"/>
      <color rgb="FFCC0000"/>
      <sz val="10"/>
    </font>
    <font>
      <name val="Calibri"/>
      <b val="1"/>
      <color rgb="FF990000"/>
      <sz val="11"/>
    </font>
    <font>
      <name val="Arial"/>
      <color rgb="FF222222"/>
      <sz val="10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2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rgb="FFFF0000"/>
      <sz val="16"/>
      <scheme val="minor"/>
    </font>
    <font>
      <name val="Calibri"/>
      <color rgb="001F2933"/>
      <sz val="11"/>
    </font>
    <font>
      <name val="Calibri"/>
      <b val="1"/>
      <color rgb="00FFFFFF"/>
      <sz val="16"/>
    </font>
    <font>
      <name val="Calibri"/>
      <b val="1"/>
      <color rgb="001F4E78"/>
      <sz val="13"/>
    </font>
    <font>
      <name val="Calibri"/>
      <b val="1"/>
      <color rgb="001F4E78"/>
      <sz val="11"/>
    </font>
    <font>
      <name val="Calibri"/>
      <b val="1"/>
      <i val="1"/>
      <color rgb="005B6770"/>
      <sz val="10"/>
    </font>
    <font>
      <name val="Calibri"/>
      <b val="1"/>
      <color rgb="00274E13"/>
      <sz val="12"/>
    </font>
    <font>
      <name val="Calibri"/>
      <b val="1"/>
      <color rgb="00000000"/>
      <sz val="16"/>
    </font>
    <font>
      <name val="Calibri"/>
      <b val="1"/>
      <color rgb="00000000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0"/>
    </font>
    <font>
      <name val="Calibri"/>
      <b val="1"/>
      <color rgb="00000000"/>
      <sz val="12"/>
    </font>
  </fonts>
  <fills count="39">
    <fill>
      <patternFill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EEAF6"/>
        <bgColor rgb="FFDEEAF6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rgb="FFB6D7A8"/>
      </patternFill>
    </fill>
    <fill>
      <patternFill patternType="solid">
        <fgColor rgb="FF92D050"/>
        <bgColor rgb="FFB6D7A8"/>
      </patternFill>
    </fill>
    <fill>
      <patternFill patternType="solid">
        <fgColor rgb="FF92D050"/>
        <bgColor rgb="FFF4CCCC"/>
      </patternFill>
    </fill>
    <fill>
      <patternFill patternType="solid">
        <fgColor rgb="FF92D050"/>
        <bgColor rgb="FFEFEFEF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rgb="FFCCCCCC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3999755851924192"/>
        <bgColor rgb="FFF4CCCC"/>
      </patternFill>
    </fill>
    <fill>
      <patternFill patternType="solid">
        <fgColor theme="4" tint="0.3999755851924192"/>
        <bgColor rgb="FF9FC5E8"/>
      </patternFill>
    </fill>
    <fill>
      <patternFill patternType="solid">
        <fgColor theme="0" tint="-0.1499984740745262"/>
        <bgColor rgb="FFCCCCCC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5999938962981048"/>
        <bgColor rgb="FFB6D7A8"/>
      </patternFill>
    </fill>
    <fill>
      <patternFill patternType="solid">
        <fgColor theme="5" tint="0.5999938962981048"/>
        <bgColor rgb="FF9FC5E8"/>
      </patternFill>
    </fill>
    <fill>
      <patternFill patternType="solid">
        <fgColor theme="5" tint="0.5999938962981048"/>
        <bgColor rgb="FFF4CCCC"/>
      </patternFill>
    </fill>
    <fill>
      <patternFill patternType="solid">
        <fgColor theme="5" tint="0.5999938962981048"/>
        <bgColor rgb="FFCCCCC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8"/>
      </patternFill>
    </fill>
    <fill>
      <patternFill patternType="solid">
        <fgColor rgb="00DDEBF7"/>
      </patternFill>
    </fill>
    <fill>
      <patternFill patternType="solid">
        <fgColor rgb="00F3F6FA"/>
      </patternFill>
    </fill>
    <fill>
      <patternFill patternType="solid">
        <fgColor rgb="00C6E0B4"/>
      </patternFill>
    </fill>
    <fill>
      <patternFill patternType="solid">
        <fgColor rgb="00D9EAF7"/>
        <bgColor rgb="00D9EAF7"/>
      </patternFill>
    </fill>
    <fill>
      <patternFill patternType="solid">
        <fgColor rgb="00EAF3F8"/>
        <bgColor rgb="00EAF3F8"/>
      </patternFill>
    </fill>
    <fill>
      <patternFill patternType="solid">
        <fgColor rgb="00DDEBF7"/>
        <bgColor rgb="00DDEBF7"/>
      </patternFill>
    </fill>
    <fill>
      <patternFill patternType="solid">
        <fgColor rgb="00F2F6FA"/>
        <bgColor rgb="00F2F6FA"/>
      </patternFill>
    </fill>
    <fill>
      <patternFill patternType="solid">
        <fgColor rgb="00C6E0B4"/>
        <bgColor rgb="00C6E0B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bottom style="medium">
        <color rgb="001F4E78"/>
      </bottom>
    </border>
    <border>
      <left style="thin">
        <color rgb="00D9E2EC"/>
      </left>
      <right style="thin">
        <color rgb="00D9E2EC"/>
      </right>
      <top style="medium">
        <color rgb="001F4E78"/>
      </top>
      <bottom style="medium">
        <color rgb="001F4E78"/>
      </bottom>
    </border>
    <border>
      <left style="thin">
        <color rgb="00D9E2EC"/>
      </left>
      <right style="thin">
        <color rgb="00D9E2EC"/>
      </right>
      <top style="medium">
        <color rgb="001F4E78"/>
      </top>
      <bottom style="thin">
        <color rgb="00D9E2EC"/>
      </bottom>
    </border>
    <border>
      <left/>
      <right/>
      <top/>
      <bottom style="medium">
        <color rgb="001F4E78"/>
      </bottom>
      <diagonal/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right/>
      <bottom style="medium">
        <color rgb="001F4E78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B0C4DE"/>
      </left>
      <right style="thin">
        <color rgb="00B0C4DE"/>
      </right>
      <top style="medium">
        <color rgb="00000000"/>
      </top>
      <bottom style="double">
        <color rgb="00000000"/>
      </bottom>
    </border>
  </borders>
  <cellStyleXfs count="1">
    <xf numFmtId="0" fontId="0" fillId="0" borderId="17"/>
  </cellStyleXfs>
  <cellXfs count="18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1" fillId="2" borderId="1" pivotButton="0" quotePrefix="0" xfId="0"/>
    <xf numFmtId="0" fontId="2" fillId="0" borderId="0" applyAlignment="1" pivotButton="0" quotePrefix="0" xfId="0">
      <alignment horizontal="right"/>
    </xf>
    <xf numFmtId="0" fontId="1" fillId="3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4" borderId="1" pivotButton="0" quotePrefix="0" xfId="0"/>
    <xf numFmtId="0" fontId="8" fillId="0" borderId="1" pivotButton="0" quotePrefix="0" xfId="0"/>
    <xf numFmtId="0" fontId="7" fillId="4" borderId="1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11" fillId="0" borderId="1" pivotButton="0" quotePrefix="0" xfId="0"/>
    <xf numFmtId="0" fontId="8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11" fillId="0" borderId="1" applyAlignment="1" pivotButton="0" quotePrefix="0" xfId="0">
      <alignment horizontal="center"/>
    </xf>
    <xf numFmtId="0" fontId="3" fillId="0" borderId="1" pivotButton="0" quotePrefix="0" xfId="0"/>
    <xf numFmtId="0" fontId="1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right"/>
    </xf>
    <xf numFmtId="0" fontId="1" fillId="6" borderId="1" pivotButton="0" quotePrefix="0" xfId="0"/>
    <xf numFmtId="0" fontId="1" fillId="7" borderId="1" pivotButton="0" quotePrefix="0" xfId="0"/>
    <xf numFmtId="0" fontId="3" fillId="8" borderId="0" applyAlignment="1" pivotButton="0" quotePrefix="0" xfId="0">
      <alignment horizontal="center"/>
    </xf>
    <xf numFmtId="0" fontId="11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wrapText="1"/>
    </xf>
    <xf numFmtId="0" fontId="7" fillId="0" borderId="0" pivotButton="0" quotePrefix="0" xfId="0"/>
    <xf numFmtId="0" fontId="1" fillId="0" borderId="12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9" borderId="0" pivotButton="0" quotePrefix="0" xfId="0"/>
    <xf numFmtId="0" fontId="1" fillId="3" borderId="1" applyAlignment="1" pivotButton="0" quotePrefix="0" xfId="0">
      <alignment horizontal="center" wrapText="1"/>
    </xf>
    <xf numFmtId="0" fontId="3" fillId="8" borderId="0" pivotButton="0" quotePrefix="0" xfId="0"/>
    <xf numFmtId="0" fontId="3" fillId="0" borderId="0" applyAlignment="1" pivotButton="0" quotePrefix="0" xfId="0">
      <alignment horizontal="right"/>
    </xf>
    <xf numFmtId="4" fontId="1" fillId="3" borderId="1" applyAlignment="1" pivotButton="0" quotePrefix="0" xfId="0">
      <alignment horizontal="center"/>
    </xf>
    <xf numFmtId="0" fontId="3" fillId="4" borderId="0" pivotButton="0" quotePrefix="0" xfId="0"/>
    <xf numFmtId="0" fontId="11" fillId="0" borderId="1" applyAlignment="1" pivotButton="0" quotePrefix="0" xfId="0">
      <alignment wrapText="1"/>
    </xf>
    <xf numFmtId="164" fontId="7" fillId="0" borderId="1" applyAlignment="1" pivotButton="0" quotePrefix="0" xfId="0">
      <alignment horizontal="center"/>
    </xf>
    <xf numFmtId="0" fontId="1" fillId="7" borderId="1" applyAlignment="1" pivotButton="0" quotePrefix="0" xfId="0">
      <alignment wrapText="1"/>
    </xf>
    <xf numFmtId="164" fontId="3" fillId="0" borderId="1" pivotButton="0" quotePrefix="0" xfId="0"/>
    <xf numFmtId="0" fontId="13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1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1" fillId="7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13" fillId="4" borderId="1" applyAlignment="1" pivotButton="0" quotePrefix="0" xfId="0">
      <alignment horizontal="right"/>
    </xf>
    <xf numFmtId="4" fontId="3" fillId="0" borderId="1" pivotButton="0" quotePrefix="0" xfId="0"/>
    <xf numFmtId="0" fontId="1" fillId="10" borderId="1" applyAlignment="1" pivotButton="0" quotePrefix="0" xfId="0">
      <alignment wrapText="1"/>
    </xf>
    <xf numFmtId="4" fontId="1" fillId="1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4" fontId="1" fillId="0" borderId="1" applyAlignment="1" pivotButton="0" quotePrefix="0" xfId="0">
      <alignment horizontal="center"/>
    </xf>
    <xf numFmtId="0" fontId="3" fillId="4" borderId="1" pivotButton="0" quotePrefix="0" xfId="0"/>
    <xf numFmtId="0" fontId="3" fillId="4" borderId="1" applyAlignment="1" pivotButton="0" quotePrefix="0" xfId="0">
      <alignment horizontal="right"/>
    </xf>
    <xf numFmtId="0" fontId="15" fillId="0" borderId="0" applyAlignment="1" pivotButton="0" quotePrefix="0" xfId="0">
      <alignment horizontal="center" wrapText="1"/>
    </xf>
    <xf numFmtId="0" fontId="1" fillId="4" borderId="1" pivotButton="0" quotePrefix="0" xfId="0"/>
    <xf numFmtId="4" fontId="16" fillId="0" borderId="1" applyAlignment="1" pivotButton="0" quotePrefix="0" xfId="0">
      <alignment horizontal="center"/>
    </xf>
    <xf numFmtId="0" fontId="17" fillId="4" borderId="1" pivotButton="0" quotePrefix="0" xfId="0"/>
    <xf numFmtId="0" fontId="17" fillId="4" borderId="16" pivotButton="0" quotePrefix="0" xfId="0"/>
    <xf numFmtId="0" fontId="17" fillId="4" borderId="17" pivotButton="0" quotePrefix="0" xfId="0"/>
    <xf numFmtId="0" fontId="17" fillId="4" borderId="1" applyAlignment="1" pivotButton="0" quotePrefix="0" xfId="0">
      <alignment wrapText="1"/>
    </xf>
    <xf numFmtId="0" fontId="17" fillId="4" borderId="17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3" fillId="4" borderId="17" applyAlignment="1" pivotButton="0" quotePrefix="0" xfId="0">
      <alignment wrapText="1"/>
    </xf>
    <xf numFmtId="0" fontId="7" fillId="5" borderId="1" applyAlignment="1" pivotButton="0" quotePrefix="0" xfId="0">
      <alignment horizontal="center"/>
    </xf>
    <xf numFmtId="0" fontId="1" fillId="0" borderId="2" applyAlignment="1" pivotButton="0" quotePrefix="0" xfId="0">
      <alignment horizontal="left" vertical="center"/>
    </xf>
    <xf numFmtId="0" fontId="4" fillId="0" borderId="3" pivotButton="0" quotePrefix="0" xfId="0"/>
    <xf numFmtId="0" fontId="4" fillId="0" borderId="4" pivotButton="0" quotePrefix="0" xfId="0"/>
    <xf numFmtId="0" fontId="1" fillId="0" borderId="5" applyAlignment="1" pivotButton="0" quotePrefix="0" xfId="0">
      <alignment horizontal="left" vertical="center"/>
    </xf>
    <xf numFmtId="0" fontId="4" fillId="0" borderId="7" pivotButton="0" quotePrefix="0" xfId="0"/>
    <xf numFmtId="0" fontId="4" fillId="0" borderId="8" pivotButton="0" quotePrefix="0" xfId="0"/>
    <xf numFmtId="0" fontId="4" fillId="0" borderId="10" pivotButton="0" quotePrefix="0" xfId="0"/>
    <xf numFmtId="0" fontId="0" fillId="0" borderId="0" pivotButton="0" quotePrefix="0" xfId="0"/>
    <xf numFmtId="0" fontId="4" fillId="0" borderId="11" pivotButton="0" quotePrefix="0" xfId="0"/>
    <xf numFmtId="0" fontId="4" fillId="0" borderId="13" pivotButton="0" quotePrefix="0" xfId="0"/>
    <xf numFmtId="0" fontId="4" fillId="0" borderId="14" pivotButton="0" quotePrefix="0" xfId="0"/>
    <xf numFmtId="0" fontId="4" fillId="0" borderId="15" pivotButton="0" quotePrefix="0" xfId="0"/>
    <xf numFmtId="0" fontId="3" fillId="0" borderId="2" pivotButton="0" quotePrefix="0" xfId="0"/>
    <xf numFmtId="0" fontId="1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4" fillId="0" borderId="9" pivotButton="0" quotePrefix="0" xfId="0"/>
    <xf numFmtId="0" fontId="4" fillId="0" borderId="12" pivotButton="0" quotePrefix="0" xfId="0"/>
    <xf numFmtId="0" fontId="13" fillId="0" borderId="5" applyAlignment="1" pivotButton="0" quotePrefix="0" xfId="0">
      <alignment horizontal="left" vertical="center"/>
    </xf>
    <xf numFmtId="0" fontId="14" fillId="7" borderId="2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3" fillId="0" borderId="5" pivotButton="0" quotePrefix="0" xfId="0"/>
    <xf numFmtId="0" fontId="20" fillId="0" borderId="0" applyAlignment="1" pivotButton="0" quotePrefix="0" xfId="0">
      <alignment horizontal="center"/>
    </xf>
    <xf numFmtId="0" fontId="3" fillId="11" borderId="0" pivotButton="0" quotePrefix="0" xfId="0"/>
    <xf numFmtId="0" fontId="6" fillId="12" borderId="0" applyAlignment="1" pivotButton="0" quotePrefix="0" xfId="0">
      <alignment horizontal="right"/>
    </xf>
    <xf numFmtId="0" fontId="9" fillId="13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9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21" fillId="0" borderId="0" pivotButton="0" quotePrefix="0" xfId="0"/>
    <xf numFmtId="0" fontId="22" fillId="0" borderId="0" pivotButton="0" quotePrefix="0" xfId="0"/>
    <xf numFmtId="0" fontId="9" fillId="0" borderId="0" applyAlignment="1" pivotButton="0" quotePrefix="0" xfId="0">
      <alignment horizontal="center"/>
    </xf>
    <xf numFmtId="0" fontId="6" fillId="18" borderId="0" pivotButton="0" quotePrefix="0" xfId="0"/>
    <xf numFmtId="0" fontId="10" fillId="18" borderId="0" applyAlignment="1" pivotButton="0" quotePrefix="0" xfId="0">
      <alignment horizontal="center"/>
    </xf>
    <xf numFmtId="0" fontId="6" fillId="19" borderId="0" pivotButton="0" quotePrefix="0" xfId="0"/>
    <xf numFmtId="0" fontId="3" fillId="20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19" borderId="0" pivotButton="0" quotePrefix="0" xfId="0"/>
    <xf numFmtId="0" fontId="10" fillId="12" borderId="0" applyAlignment="1" pivotButton="0" quotePrefix="0" xfId="0">
      <alignment horizontal="center"/>
    </xf>
    <xf numFmtId="0" fontId="10" fillId="22" borderId="0" applyAlignment="1" pivotButton="0" quotePrefix="0" xfId="0">
      <alignment horizontal="center"/>
    </xf>
    <xf numFmtId="0" fontId="3" fillId="12" borderId="0" pivotButton="0" quotePrefix="0" xfId="0"/>
    <xf numFmtId="0" fontId="3" fillId="12" borderId="0" applyAlignment="1" pivotButton="0" quotePrefix="0" xfId="0">
      <alignment horizontal="center"/>
    </xf>
    <xf numFmtId="0" fontId="6" fillId="23" borderId="0" pivotButton="0" quotePrefix="0" xfId="0"/>
    <xf numFmtId="0" fontId="3" fillId="23" borderId="0" applyAlignment="1" pivotButton="0" quotePrefix="0" xfId="0">
      <alignment horizontal="center"/>
    </xf>
    <xf numFmtId="0" fontId="9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10" fillId="27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17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  <xf numFmtId="0" fontId="6" fillId="18" borderId="0" applyAlignment="1" pivotButton="0" quotePrefix="0" xfId="0">
      <alignment horizontal="center"/>
    </xf>
    <xf numFmtId="0" fontId="6" fillId="23" borderId="0" applyAlignment="1" pivotButton="0" quotePrefix="0" xfId="0">
      <alignment horizontal="center"/>
    </xf>
    <xf numFmtId="0" fontId="6" fillId="1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8" fillId="11" borderId="0" applyAlignment="1" pivotButton="0" quotePrefix="0" xfId="0">
      <alignment horizontal="center"/>
    </xf>
    <xf numFmtId="0" fontId="20" fillId="11" borderId="0" applyAlignment="1" pivotButton="0" quotePrefix="0" xfId="0">
      <alignment horizontal="center"/>
    </xf>
    <xf numFmtId="0" fontId="18" fillId="12" borderId="0" applyAlignment="1" pivotButton="0" quotePrefix="0" xfId="0">
      <alignment horizontal="center"/>
    </xf>
    <xf numFmtId="0" fontId="20" fillId="12" borderId="0" applyAlignment="1" pivotButton="0" quotePrefix="0" xfId="0">
      <alignment horizontal="center"/>
    </xf>
    <xf numFmtId="0" fontId="18" fillId="11" borderId="0" pivotButton="0" quotePrefix="0" xfId="0"/>
    <xf numFmtId="0" fontId="1" fillId="0" borderId="17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3" fillId="0" borderId="1" applyAlignment="1" pivotButton="0" quotePrefix="0" xfId="0">
      <alignment horizontal="left" vertical="center"/>
    </xf>
    <xf numFmtId="0" fontId="24" fillId="28" borderId="19" applyAlignment="1" pivotButton="0" quotePrefix="0" xfId="0">
      <alignment horizontal="center" vertical="center"/>
    </xf>
    <xf numFmtId="0" fontId="23" fillId="0" borderId="19" applyAlignment="1" pivotButton="0" quotePrefix="0" xfId="0">
      <alignment vertical="center" wrapText="1"/>
    </xf>
    <xf numFmtId="0" fontId="25" fillId="29" borderId="18" applyAlignment="1" pivotButton="0" quotePrefix="0" xfId="0">
      <alignment horizontal="center" vertical="center"/>
    </xf>
    <xf numFmtId="0" fontId="23" fillId="0" borderId="18" applyAlignment="1" pivotButton="0" quotePrefix="0" xfId="0">
      <alignment vertical="center" wrapText="1"/>
    </xf>
    <xf numFmtId="0" fontId="26" fillId="29" borderId="20" applyAlignment="1" pivotButton="0" quotePrefix="0" xfId="0">
      <alignment horizontal="center" vertical="center"/>
    </xf>
    <xf numFmtId="0" fontId="26" fillId="30" borderId="21" applyAlignment="1" pivotButton="0" quotePrefix="0" xfId="0">
      <alignment horizontal="center" vertical="center"/>
    </xf>
    <xf numFmtId="0" fontId="26" fillId="30" borderId="21" applyAlignment="1" pivotButton="0" quotePrefix="0" xfId="0">
      <alignment vertical="center" wrapText="1"/>
    </xf>
    <xf numFmtId="165" fontId="23" fillId="0" borderId="18" applyAlignment="1" pivotButton="0" quotePrefix="0" xfId="0">
      <alignment horizontal="center" vertical="center"/>
    </xf>
    <xf numFmtId="0" fontId="26" fillId="31" borderId="21" applyAlignment="1" pivotButton="0" quotePrefix="0" xfId="0">
      <alignment vertical="center" wrapText="1"/>
    </xf>
    <xf numFmtId="165" fontId="26" fillId="31" borderId="21" applyAlignment="1" pivotButton="0" quotePrefix="0" xfId="0">
      <alignment horizontal="center" vertical="center"/>
    </xf>
    <xf numFmtId="0" fontId="27" fillId="32" borderId="18" applyAlignment="1" pivotButton="0" quotePrefix="0" xfId="0">
      <alignment vertical="center" wrapText="1"/>
    </xf>
    <xf numFmtId="0" fontId="27" fillId="32" borderId="18" applyAlignment="1" pivotButton="0" quotePrefix="0" xfId="0">
      <alignment horizontal="center" vertical="center"/>
    </xf>
    <xf numFmtId="0" fontId="28" fillId="33" borderId="20" applyAlignment="1" pivotButton="0" quotePrefix="0" xfId="0">
      <alignment vertical="center" wrapText="1"/>
    </xf>
    <xf numFmtId="165" fontId="28" fillId="33" borderId="2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13" fillId="0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center"/>
    </xf>
    <xf numFmtId="0" fontId="0" fillId="0" borderId="22" pivotButton="0" quotePrefix="0" xfId="0"/>
    <xf numFmtId="0" fontId="0" fillId="0" borderId="25" pivotButton="0" quotePrefix="0" xfId="0"/>
    <xf numFmtId="0" fontId="0" fillId="0" borderId="26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0" fillId="34" borderId="28" pivotButton="0" quotePrefix="0" xfId="0"/>
    <xf numFmtId="0" fontId="31" fillId="34" borderId="28" applyAlignment="1" pivotButton="0" quotePrefix="0" xfId="0">
      <alignment horizontal="left" vertical="center"/>
    </xf>
    <xf numFmtId="0" fontId="31" fillId="34" borderId="28" applyAlignment="1" pivotButton="0" quotePrefix="0" xfId="0">
      <alignment horizontal="right" vertical="center"/>
    </xf>
    <xf numFmtId="0" fontId="31" fillId="35" borderId="28" pivotButton="0" quotePrefix="0" xfId="0"/>
    <xf numFmtId="0" fontId="32" fillId="0" borderId="28" pivotButton="0" quotePrefix="0" xfId="0"/>
    <xf numFmtId="165" fontId="32" fillId="0" borderId="28" applyAlignment="1" pivotButton="0" quotePrefix="0" xfId="0">
      <alignment horizontal="right" vertical="center"/>
    </xf>
    <xf numFmtId="0" fontId="31" fillId="36" borderId="28" pivotButton="0" quotePrefix="0" xfId="0"/>
    <xf numFmtId="165" fontId="31" fillId="36" borderId="28" applyAlignment="1" pivotButton="0" quotePrefix="0" xfId="0">
      <alignment horizontal="right" vertical="center"/>
    </xf>
    <xf numFmtId="0" fontId="33" fillId="37" borderId="28" pivotButton="0" quotePrefix="0" xfId="0"/>
    <xf numFmtId="0" fontId="34" fillId="38" borderId="29" pivotButton="0" quotePrefix="0" xfId="0"/>
    <xf numFmtId="165" fontId="34" fillId="38" borderId="29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38"/>
  <sheetViews>
    <sheetView workbookViewId="0">
      <selection activeCell="A1" sqref="A1"/>
    </sheetView>
  </sheetViews>
  <sheetFormatPr baseColWidth="10" defaultColWidth="12.5703125" defaultRowHeight="15" customHeight="1"/>
  <cols>
    <col width="12.5703125" customWidth="1" style="77" min="1" max="3"/>
    <col width="74.28515625" customWidth="1" style="77" min="4" max="4"/>
    <col width="15.5703125" customWidth="1" style="77" min="5" max="5"/>
    <col width="12.5703125" customWidth="1" style="77" min="6" max="6"/>
  </cols>
  <sheetData>
    <row r="1" ht="15.75" customHeight="1" s="77">
      <c r="A1" s="137" t="inlineStr">
        <is>
          <t>Estimation en jours</t>
        </is>
      </c>
      <c r="C1" s="3" t="n"/>
      <c r="D1" s="3" t="n"/>
      <c r="E1" s="3" t="n"/>
    </row>
    <row r="2" ht="15.75" customHeight="1" s="77">
      <c r="A2" s="21" t="n"/>
      <c r="B2" s="138" t="n"/>
      <c r="C2" s="139" t="n"/>
      <c r="D2" s="6" t="inlineStr">
        <is>
          <t>Tâches</t>
        </is>
      </c>
      <c r="E2" s="6" t="inlineStr">
        <is>
          <t>Estimation en jours</t>
        </is>
      </c>
    </row>
    <row r="3" ht="15.75" customHeight="1" s="77">
      <c r="A3" s="28" t="inlineStr">
        <is>
          <t>Préparation</t>
        </is>
      </c>
      <c r="B3" s="140" t="n"/>
      <c r="C3" s="141" t="n"/>
      <c r="D3" s="10" t="inlineStr">
        <is>
          <t>Prise en main du projet</t>
        </is>
      </c>
      <c r="E3" s="12" t="n">
        <v>1</v>
      </c>
    </row>
    <row r="4" ht="15.75" customHeight="1" s="77">
      <c r="A4" s="142" t="n"/>
      <c r="C4" s="143" t="n"/>
      <c r="D4" s="10" t="inlineStr">
        <is>
          <t xml:space="preserve">Apprentissage Nouvelles technologies </t>
        </is>
      </c>
      <c r="E4" s="122" t="n">
        <v>4</v>
      </c>
    </row>
    <row r="5" ht="15.75" customHeight="1" s="77">
      <c r="A5" s="142" t="n"/>
      <c r="C5" s="143" t="n"/>
      <c r="D5" s="10" t="inlineStr">
        <is>
          <t>Installation des environnements</t>
        </is>
      </c>
      <c r="E5" s="12" t="n">
        <v>3</v>
      </c>
    </row>
    <row r="6" ht="15.75" customHeight="1" s="77">
      <c r="A6" s="142" t="n"/>
      <c r="C6" s="143" t="n"/>
      <c r="D6" s="10" t="inlineStr">
        <is>
          <t xml:space="preserve">Analyse des besoins de la Direction Stratégie </t>
        </is>
      </c>
      <c r="E6" s="12" t="n">
        <v>2</v>
      </c>
    </row>
    <row r="7" ht="15.75" customHeight="1" s="77">
      <c r="A7" s="142" t="n"/>
      <c r="C7" s="143" t="n"/>
      <c r="D7" s="17" t="inlineStr">
        <is>
          <t>Planification des fonctionnalités du module</t>
        </is>
      </c>
      <c r="E7" s="12" t="n">
        <v>2</v>
      </c>
    </row>
    <row r="8" ht="15.75" customHeight="1" s="77">
      <c r="A8" s="144" t="n"/>
      <c r="B8" s="145" t="n"/>
      <c r="C8" s="146" t="n"/>
      <c r="D8" s="20" t="inlineStr">
        <is>
          <t>Sous Total</t>
        </is>
      </c>
      <c r="E8" s="18">
        <f>SUM(E3:E7)</f>
        <v/>
      </c>
    </row>
    <row r="9" ht="15.75" customHeight="1" s="77">
      <c r="A9" s="28" t="inlineStr">
        <is>
          <t xml:space="preserve">Design </t>
        </is>
      </c>
      <c r="B9" s="140" t="n"/>
      <c r="C9" s="141" t="n"/>
      <c r="D9" s="10" t="inlineStr">
        <is>
          <t xml:space="preserve">Conception des maquettes </t>
        </is>
      </c>
      <c r="E9" s="12" t="n">
        <v>4</v>
      </c>
    </row>
    <row r="10" ht="15.75" customHeight="1" s="77">
      <c r="A10" s="142" t="n"/>
      <c r="C10" s="143" t="n"/>
      <c r="D10" s="17" t="inlineStr">
        <is>
          <t>Modification des maquettes UI/UX</t>
        </is>
      </c>
      <c r="E10" s="12" t="n">
        <v>3</v>
      </c>
    </row>
    <row r="11" ht="15.75" customHeight="1" s="77">
      <c r="A11" s="142" t="n"/>
      <c r="C11" s="143" t="n"/>
      <c r="D11" s="10" t="inlineStr">
        <is>
          <t>Mise en place du site sur Wix</t>
        </is>
      </c>
      <c r="E11" s="12" t="n">
        <v>2</v>
      </c>
    </row>
    <row r="12" ht="15.75" customHeight="1" s="77">
      <c r="A12" s="142" t="n"/>
      <c r="C12" s="143" t="n"/>
      <c r="D12" s="10" t="inlineStr">
        <is>
          <t xml:space="preserve">Modification et attente de validation </t>
        </is>
      </c>
      <c r="E12" s="18" t="n">
        <v>3</v>
      </c>
    </row>
    <row r="13" ht="15.75" customHeight="1" s="77">
      <c r="A13" s="142" t="n"/>
      <c r="C13" s="143" t="n"/>
      <c r="D13" s="10" t="inlineStr">
        <is>
          <t>Vérifications de performance et adaptabilité mobile</t>
        </is>
      </c>
      <c r="E13" s="18" t="n">
        <v>3</v>
      </c>
    </row>
    <row r="14" ht="15.75" customHeight="1" s="77">
      <c r="A14" s="144" t="n"/>
      <c r="B14" s="145" t="n"/>
      <c r="C14" s="146" t="n"/>
      <c r="D14" s="20" t="inlineStr">
        <is>
          <t>Sous Total</t>
        </is>
      </c>
      <c r="E14" s="18">
        <f>SUM(E9:E13)</f>
        <v/>
      </c>
    </row>
    <row r="15" ht="15.75" customHeight="1" s="77">
      <c r="A15" s="28" t="inlineStr">
        <is>
          <t>Développement</t>
        </is>
      </c>
      <c r="B15" s="140" t="n"/>
      <c r="C15" s="141" t="n"/>
      <c r="D15" s="16" t="inlineStr">
        <is>
          <t xml:space="preserve">Développement de la gestion des contrôles qualité </t>
        </is>
      </c>
      <c r="E15" s="18">
        <f>SUM(E16:E20)</f>
        <v/>
      </c>
    </row>
    <row r="16" ht="15.75" customHeight="1" s="77">
      <c r="A16" s="142" t="n"/>
      <c r="C16" s="143" t="n"/>
      <c r="D16" s="17" t="inlineStr">
        <is>
          <t>CRUD pour les deux types de contrôles (supports &amp; mobiles)</t>
        </is>
      </c>
      <c r="E16" s="12" t="n">
        <v>4</v>
      </c>
    </row>
    <row r="17" ht="15.75" customHeight="1" s="77">
      <c r="A17" s="142" t="n"/>
      <c r="C17" s="143" t="n"/>
      <c r="D17" s="17" t="inlineStr">
        <is>
          <t xml:space="preserve">Création de différentes pages selon les types de contrôles </t>
        </is>
      </c>
      <c r="E17" s="12" t="n">
        <v>2</v>
      </c>
    </row>
    <row r="18" ht="15.75" customHeight="1" s="77">
      <c r="A18" s="142" t="n"/>
      <c r="C18" s="143" t="n"/>
      <c r="D18" s="17" t="inlineStr">
        <is>
          <t>Champs spécifiques selon le type : numéro de bus, état de visibilité mobile, remarque, etc.</t>
        </is>
      </c>
      <c r="E18" s="12" t="n">
        <v>2</v>
      </c>
    </row>
    <row r="19" ht="15.75" customHeight="1" s="77">
      <c r="A19" s="142" t="n"/>
      <c r="C19" s="143" t="n"/>
      <c r="D19" s="17" t="inlineStr">
        <is>
          <t>Catalogage des problèmes rencontrés et solutions proposées</t>
        </is>
      </c>
      <c r="E19" s="12" t="n">
        <v>1</v>
      </c>
    </row>
    <row r="20" ht="15.75" customHeight="1" s="77">
      <c r="A20" s="142" t="n"/>
      <c r="C20" s="143" t="n"/>
      <c r="D20" s="17" t="inlineStr">
        <is>
          <t xml:space="preserve">Tests et modifications selon les besoins des fonctionnalités </t>
        </is>
      </c>
      <c r="E20" s="12" t="n">
        <v>3</v>
      </c>
    </row>
    <row r="21" ht="15.75" customHeight="1" s="77">
      <c r="A21" s="142" t="n"/>
      <c r="C21" s="143" t="n"/>
      <c r="D21" s="27" t="inlineStr">
        <is>
          <t>Mise en place du tableau de bord</t>
        </is>
      </c>
      <c r="E21" s="18">
        <f>SUM(E22:E24)</f>
        <v/>
      </c>
    </row>
    <row r="22" ht="15.75" customHeight="1" s="77">
      <c r="A22" s="142" t="n"/>
      <c r="C22" s="143" t="n"/>
      <c r="D22" s="17" t="inlineStr">
        <is>
          <t>Développement des graphiques/statistiques</t>
        </is>
      </c>
      <c r="E22" s="12" t="n">
        <v>2</v>
      </c>
    </row>
    <row r="23" ht="15.75" customHeight="1" s="77">
      <c r="A23" s="142" t="n"/>
      <c r="C23" s="143" t="n"/>
      <c r="D23" s="17" t="inlineStr">
        <is>
          <t>Configuration des filtres et vues analytiques</t>
        </is>
      </c>
      <c r="E23" s="12" t="n">
        <v>1</v>
      </c>
    </row>
    <row r="24" ht="15.75" customHeight="1" s="77">
      <c r="A24" s="142" t="n"/>
      <c r="C24" s="143" t="n"/>
      <c r="D24" s="17" t="inlineStr">
        <is>
          <t>Mise en place des rapports analytiques personnalisés</t>
        </is>
      </c>
      <c r="E24" s="12" t="n">
        <v>1</v>
      </c>
    </row>
    <row r="25" ht="15.75" customHeight="1" s="77">
      <c r="A25" s="142" t="n"/>
      <c r="C25" s="143" t="n"/>
      <c r="D25" s="27" t="inlineStr">
        <is>
          <t>Configuration des droits d'accès</t>
        </is>
      </c>
      <c r="E25" s="18" t="n">
        <v>0.5</v>
      </c>
    </row>
    <row r="26" ht="15.75" customHeight="1" s="77">
      <c r="A26" s="142" t="n"/>
      <c r="C26" s="143" t="n"/>
      <c r="D26" s="17" t="inlineStr">
        <is>
          <t>Accès complets à tous les utilisateurs internes d’Odoo</t>
        </is>
      </c>
      <c r="E26" s="21" t="n"/>
    </row>
    <row r="27" ht="15.75" customHeight="1" s="77">
      <c r="A27" s="142" t="n"/>
      <c r="C27" s="143" t="n"/>
      <c r="D27" s="27" t="inlineStr">
        <is>
          <t>Analyse de la structure du contenu</t>
        </is>
      </c>
      <c r="E27" s="18" t="n">
        <v>1</v>
      </c>
    </row>
    <row r="28" ht="15.75" customHeight="1" s="77">
      <c r="A28" s="142" t="n"/>
      <c r="C28" s="143" t="n"/>
      <c r="D28" s="27" t="inlineStr">
        <is>
          <t>Organisation du contenu pour une meilleure navigation</t>
        </is>
      </c>
      <c r="E28" s="18" t="n">
        <v>2</v>
      </c>
    </row>
    <row r="29" ht="15.75" customHeight="1" s="77">
      <c r="A29" s="144" t="n"/>
      <c r="B29" s="145" t="n"/>
      <c r="C29" s="146" t="n"/>
      <c r="D29" s="20" t="inlineStr">
        <is>
          <t>Sous Total</t>
        </is>
      </c>
      <c r="E29" s="18">
        <f>SUM(E15+E21+E25+E27+E28)</f>
        <v/>
      </c>
    </row>
    <row r="30" ht="15.75" customHeight="1" s="77">
      <c r="A30" s="28" t="inlineStr">
        <is>
          <t>Tests</t>
        </is>
      </c>
      <c r="B30" s="138" t="n"/>
      <c r="C30" s="139" t="n"/>
      <c r="D30" s="10" t="inlineStr">
        <is>
          <t>Tests et corrections</t>
        </is>
      </c>
      <c r="E30" s="12" t="n">
        <v>2</v>
      </c>
    </row>
    <row r="31" ht="15.75" customHeight="1" s="77">
      <c r="A31" s="147" t="n"/>
      <c r="B31" s="138" t="n"/>
      <c r="C31" s="139" t="n"/>
      <c r="D31" s="10" t="inlineStr">
        <is>
          <t>Formation de la Direction Stratégie</t>
        </is>
      </c>
      <c r="E31" s="12" t="n">
        <v>1.5</v>
      </c>
    </row>
    <row r="32" ht="15.75" customHeight="1" s="77">
      <c r="A32" s="28" t="inlineStr">
        <is>
          <t>Gestion de projet</t>
        </is>
      </c>
      <c r="B32" s="138" t="n"/>
      <c r="C32" s="139" t="n"/>
      <c r="D32" s="10" t="inlineStr">
        <is>
          <t>Suivi et coordination du projet</t>
        </is>
      </c>
      <c r="E32" s="12" t="n">
        <v>2</v>
      </c>
    </row>
    <row r="33" ht="15.75" customHeight="1" s="77">
      <c r="A33" s="28" t="inlineStr">
        <is>
          <t xml:space="preserve">Autres projets </t>
        </is>
      </c>
      <c r="B33" s="140" t="n"/>
      <c r="C33" s="141" t="n"/>
      <c r="D33" s="20" t="inlineStr">
        <is>
          <t>Sous Total</t>
        </is>
      </c>
      <c r="E33" s="18">
        <f>SUM(E34:E37)</f>
        <v/>
      </c>
    </row>
    <row r="34" ht="15.75" customHeight="1" s="77">
      <c r="A34" s="142" t="n"/>
      <c r="C34" s="143" t="n"/>
      <c r="D34" s="10" t="inlineStr">
        <is>
          <t xml:space="preserve">Simulations sur les supports </t>
        </is>
      </c>
      <c r="E34" s="12" t="n">
        <v>2</v>
      </c>
    </row>
    <row r="35" ht="15.75" customHeight="1" s="77">
      <c r="A35" s="142" t="n"/>
      <c r="C35" s="143" t="n"/>
      <c r="D35" s="10" t="inlineStr">
        <is>
          <t xml:space="preserve">Visite des sites de l'entreprise pour rendre un rapport qualité </t>
        </is>
      </c>
      <c r="E35" s="12" t="n">
        <v>2</v>
      </c>
    </row>
    <row r="36" ht="15.75" customHeight="1" s="77">
      <c r="A36" s="142" t="n"/>
      <c r="C36" s="143" t="n"/>
      <c r="D36" s="10" t="inlineStr">
        <is>
          <t xml:space="preserve">Assistance en communication (interne et externe) </t>
        </is>
      </c>
      <c r="E36" s="12" t="n">
        <v>6</v>
      </c>
    </row>
    <row r="37" ht="15.75" customHeight="1" s="77">
      <c r="A37" s="144" t="n"/>
      <c r="B37" s="145" t="n"/>
      <c r="C37" s="146" t="n"/>
      <c r="D37" s="10" t="inlineStr">
        <is>
          <t xml:space="preserve">Montages vidéos </t>
        </is>
      </c>
      <c r="E37" s="12" t="n">
        <v>3</v>
      </c>
    </row>
    <row r="38" ht="15.75" customHeight="1" s="77">
      <c r="A38" s="21" t="n"/>
      <c r="B38" s="138" t="n"/>
      <c r="C38" s="139" t="n"/>
      <c r="D38" s="20" t="inlineStr">
        <is>
          <t>Total</t>
        </is>
      </c>
      <c r="E38" s="18">
        <f>SUM(E30:E32)+E29+E14+E8+E33</f>
        <v/>
      </c>
    </row>
    <row r="39" ht="15.75" customHeight="1" s="77"/>
    <row r="40" ht="15.75" customHeight="1" s="77"/>
    <row r="41" ht="15.75" customHeight="1" s="77"/>
    <row r="42" ht="15.75" customHeight="1" s="77"/>
    <row r="43" ht="15.75" customHeight="1" s="77"/>
    <row r="44" ht="15.75" customHeight="1" s="77"/>
    <row r="45" ht="15.75" customHeight="1" s="77"/>
    <row r="46" ht="15.75" customHeight="1" s="77"/>
    <row r="47" ht="15.75" customHeight="1" s="77"/>
    <row r="48" ht="15.75" customHeight="1" s="77"/>
    <row r="49" ht="15.75" customHeight="1" s="77"/>
    <row r="50" ht="15.75" customHeight="1" s="77"/>
    <row r="51" ht="15.75" customHeight="1" s="77"/>
    <row r="52" ht="15.75" customHeight="1" s="77"/>
    <row r="53" ht="15.75" customHeight="1" s="77"/>
    <row r="54" ht="15.75" customHeight="1" s="77"/>
    <row r="55" ht="15.75" customHeight="1" s="77"/>
    <row r="56" ht="15.75" customHeight="1" s="77"/>
    <row r="57" ht="15.75" customHeight="1" s="77"/>
    <row r="58" ht="15.75" customHeight="1" s="77"/>
    <row r="59" ht="15.75" customHeight="1" s="77"/>
    <row r="60" ht="15.75" customHeight="1" s="77"/>
    <row r="61" ht="15.75" customHeight="1" s="77"/>
    <row r="62" ht="15.75" customHeight="1" s="77"/>
    <row r="63" ht="15.75" customHeight="1" s="77"/>
    <row r="64" ht="15.75" customHeight="1" s="77"/>
    <row r="65" ht="15.75" customHeight="1" s="77"/>
    <row r="66" ht="15.75" customHeight="1" s="77"/>
    <row r="67" ht="15.75" customHeight="1" s="77"/>
    <row r="68" ht="15.75" customHeight="1" s="77"/>
    <row r="69" ht="15.75" customHeight="1" s="77"/>
    <row r="70" ht="15.75" customHeight="1" s="77"/>
    <row r="71" ht="15.75" customHeight="1" s="77"/>
    <row r="72" ht="15.75" customHeight="1" s="77"/>
    <row r="73" ht="15.75" customHeight="1" s="77"/>
    <row r="74" ht="15.75" customHeight="1" s="77"/>
    <row r="75" ht="15.75" customHeight="1" s="77"/>
    <row r="76" ht="15.75" customHeight="1" s="77"/>
    <row r="77" ht="15.75" customHeight="1" s="77"/>
    <row r="78" ht="15.75" customHeight="1" s="77"/>
    <row r="79" ht="15.75" customHeight="1" s="77"/>
    <row r="80" ht="15.75" customHeight="1" s="77"/>
    <row r="81" ht="15.75" customHeight="1" s="77"/>
    <row r="82" ht="15.75" customHeight="1" s="77"/>
    <row r="83" ht="15.75" customHeight="1" s="77"/>
    <row r="84" ht="15.75" customHeight="1" s="77"/>
    <row r="85" ht="15.75" customHeight="1" s="77"/>
    <row r="86" ht="15.75" customHeight="1" s="77"/>
    <row r="87" ht="15.75" customHeight="1" s="77"/>
    <row r="88" ht="15.75" customHeight="1" s="77"/>
    <row r="89" ht="15.75" customHeight="1" s="77"/>
    <row r="90" ht="15.75" customHeight="1" s="77"/>
    <row r="91" ht="15.75" customHeight="1" s="77"/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mergeCells count="10">
    <mergeCell ref="A33:C37"/>
    <mergeCell ref="A32:C32"/>
    <mergeCell ref="A31:C31"/>
    <mergeCell ref="A9:C14"/>
    <mergeCell ref="A15:C29"/>
    <mergeCell ref="A3:C8"/>
    <mergeCell ref="A30:C30"/>
    <mergeCell ref="A1:B1"/>
    <mergeCell ref="A38:C38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5" customWidth="1" style="77" min="1" max="1"/>
    <col width="78" customWidth="1" style="77" min="2" max="2"/>
    <col width="15" customWidth="1" style="77" min="3" max="3"/>
  </cols>
  <sheetData>
    <row r="1">
      <c r="A1" s="169" t="inlineStr">
        <is>
          <t>ESTIMATION DE STAGE ETU003346</t>
        </is>
      </c>
    </row>
    <row r="2">
      <c r="A2" s="170" t="inlineStr">
        <is>
          <t>Estimation en jours</t>
        </is>
      </c>
    </row>
    <row r="3">
      <c r="A3" s="171" t="n"/>
      <c r="B3" s="172" t="inlineStr">
        <is>
          <t>Tâches</t>
        </is>
      </c>
      <c r="C3" s="173" t="inlineStr">
        <is>
          <t>Estimation</t>
        </is>
      </c>
    </row>
    <row r="4">
      <c r="A4" s="174" t="inlineStr">
        <is>
          <t>Sprint 0</t>
        </is>
      </c>
      <c r="B4" s="174" t="inlineStr">
        <is>
          <t>Analyse, cadrage et conception</t>
        </is>
      </c>
      <c r="C4" s="174" t="n"/>
    </row>
    <row r="5">
      <c r="A5" s="175" t="n"/>
      <c r="B5" s="175" t="inlineStr">
        <is>
          <t>Analyse du cahier des charges et définition du périmètre V1</t>
        </is>
      </c>
      <c r="C5" s="176" t="n">
        <v>2</v>
      </c>
    </row>
    <row r="6">
      <c r="A6" s="175" t="n"/>
      <c r="B6" s="175" t="inlineStr">
        <is>
          <t>Identification des modules fonctionnels du recrutement</t>
        </is>
      </c>
      <c r="C6" s="176" t="n">
        <v>1.5</v>
      </c>
    </row>
    <row r="7">
      <c r="A7" s="175" t="n"/>
      <c r="B7" s="175" t="inlineStr">
        <is>
          <t>Analyse des parcours candidat / RH / admin</t>
        </is>
      </c>
      <c r="C7" s="176" t="n">
        <v>1.5</v>
      </c>
    </row>
    <row r="8">
      <c r="A8" s="175" t="n"/>
      <c r="B8" s="175" t="inlineStr">
        <is>
          <t>Conception du MCD / MLD et des règles métier</t>
        </is>
      </c>
      <c r="C8" s="176" t="n">
        <v>2</v>
      </c>
    </row>
    <row r="9">
      <c r="A9" s="175" t="n"/>
      <c r="B9" s="175" t="inlineStr">
        <is>
          <t>Conception de l'architecture Laravel / React / PostgreSQL / FastAPI</t>
        </is>
      </c>
      <c r="C9" s="176" t="n">
        <v>0.5</v>
      </c>
    </row>
    <row r="10">
      <c r="A10" s="175" t="n"/>
      <c r="B10" s="175" t="inlineStr">
        <is>
          <t>Planification du projet et préparation de l'environnement</t>
        </is>
      </c>
      <c r="C10" s="176" t="n">
        <v>1.5</v>
      </c>
    </row>
    <row r="11">
      <c r="A11" s="177" t="n"/>
      <c r="B11" s="177" t="inlineStr">
        <is>
          <t>Sous-total</t>
        </is>
      </c>
      <c r="C11" s="178">
        <f>SUM(C5:C10)</f>
        <v/>
      </c>
    </row>
    <row r="12">
      <c r="A12" s="174" t="inlineStr">
        <is>
          <t>Sprint 1</t>
        </is>
      </c>
      <c r="B12" s="174" t="inlineStr">
        <is>
          <t>Socle technique, sécurité et référentiels de base</t>
        </is>
      </c>
      <c r="C12" s="174" t="n"/>
    </row>
    <row r="13">
      <c r="A13" s="179" t="n"/>
      <c r="B13" s="179" t="inlineStr">
        <is>
          <t>BACK-OFFICE / API</t>
        </is>
      </c>
      <c r="C13" s="179" t="n"/>
    </row>
    <row r="14">
      <c r="A14" s="175" t="n"/>
      <c r="B14" s="175" t="inlineStr">
        <is>
          <t>Configuration du projet Laravel et de l'environnement PostgreSQL</t>
        </is>
      </c>
      <c r="C14" s="176" t="n">
        <v>1</v>
      </c>
    </row>
    <row r="15">
      <c r="A15" s="175" t="n"/>
      <c r="B15" s="175" t="inlineStr">
        <is>
          <t>Mise en place des migrations principales et des seeders</t>
        </is>
      </c>
      <c r="C15" s="176" t="n">
        <v>1</v>
      </c>
    </row>
    <row r="16">
      <c r="A16" s="175" t="n"/>
      <c r="B16" s="175" t="inlineStr">
        <is>
          <t>Mise en place de l'architecture API REST</t>
        </is>
      </c>
      <c r="C16" s="176" t="n">
        <v>1</v>
      </c>
    </row>
    <row r="17">
      <c r="A17" s="175" t="n"/>
      <c r="B17" s="175" t="inlineStr">
        <is>
          <t>Authentification et gestion des rôles RH / admin</t>
        </is>
      </c>
      <c r="C17" s="176" t="n">
        <v>1</v>
      </c>
    </row>
    <row r="18">
      <c r="A18" s="179" t="n"/>
      <c r="B18" s="179" t="inlineStr">
        <is>
          <t>FRONT-OFFICE / INTERFACE</t>
        </is>
      </c>
      <c r="C18" s="179" t="n"/>
    </row>
    <row r="19">
      <c r="A19" s="175" t="n"/>
      <c r="B19" s="175" t="inlineStr">
        <is>
          <t>Installation de React avec Vite et structure de navigation</t>
        </is>
      </c>
      <c r="C19" s="176" t="n">
        <v>0.5</v>
      </c>
    </row>
    <row r="20">
      <c r="A20" s="175" t="n"/>
      <c r="B20" s="175" t="inlineStr">
        <is>
          <t>Intégration de la mise en page générale du back-office</t>
        </is>
      </c>
      <c r="C20" s="176" t="n">
        <v>1</v>
      </c>
    </row>
    <row r="21">
      <c r="A21" s="175" t="n"/>
      <c r="B21" s="175" t="inlineStr">
        <is>
          <t>Tests et debug</t>
        </is>
      </c>
      <c r="C21" s="176" t="n">
        <v>0.5</v>
      </c>
    </row>
    <row r="22">
      <c r="A22" s="177" t="n"/>
      <c r="B22" s="177" t="inlineStr">
        <is>
          <t>Sous-total</t>
        </is>
      </c>
      <c r="C22" s="178">
        <f>SUM(C13:C21)</f>
        <v/>
      </c>
    </row>
    <row r="23">
      <c r="A23" s="174" t="inlineStr">
        <is>
          <t>Sprint 2</t>
        </is>
      </c>
      <c r="B23" s="174" t="inlineStr">
        <is>
          <t>Gestion des offres, directions et domaines</t>
        </is>
      </c>
      <c r="C23" s="174" t="n"/>
    </row>
    <row r="24">
      <c r="A24" s="179" t="n"/>
      <c r="B24" s="179" t="inlineStr">
        <is>
          <t>BACK-OFFICE</t>
        </is>
      </c>
      <c r="C24" s="179" t="n"/>
    </row>
    <row r="25">
      <c r="A25" s="175" t="n"/>
      <c r="B25" s="175" t="inlineStr">
        <is>
          <t>CRUD des directions</t>
        </is>
      </c>
      <c r="C25" s="176" t="n">
        <v>0.5</v>
      </c>
    </row>
    <row r="26">
      <c r="A26" s="175" t="n"/>
      <c r="B26" s="175" t="inlineStr">
        <is>
          <t>CRUD des domaines et validation des domaines en attente</t>
        </is>
      </c>
      <c r="C26" s="176" t="n">
        <v>0.5</v>
      </c>
    </row>
    <row r="27">
      <c r="A27" s="175" t="n"/>
      <c r="B27" s="175" t="inlineStr">
        <is>
          <t>CRUD des offres d'emploi</t>
        </is>
      </c>
      <c r="C27" s="176" t="n">
        <v>1</v>
      </c>
    </row>
    <row r="28">
      <c r="A28" s="175" t="n"/>
      <c r="B28" s="175" t="inlineStr">
        <is>
          <t>Gestion du statut des offres : brouillon, publiée, clôturée</t>
        </is>
      </c>
      <c r="C28" s="176" t="n">
        <v>0.5</v>
      </c>
    </row>
    <row r="29">
      <c r="A29" s="175" t="n"/>
      <c r="B29" s="175" t="inlineStr">
        <is>
          <t>Gestion du profil, des missions et des formations requises</t>
        </is>
      </c>
      <c r="C29" s="176" t="n">
        <v>1.5</v>
      </c>
    </row>
    <row r="30">
      <c r="A30" s="175" t="n"/>
      <c r="B30" s="175" t="inlineStr">
        <is>
          <t>Gestion des compétences requises par offre</t>
        </is>
      </c>
      <c r="C30" s="176" t="n">
        <v>1</v>
      </c>
    </row>
    <row r="31">
      <c r="A31" s="179" t="n"/>
      <c r="B31" s="179" t="inlineStr">
        <is>
          <t>FRONT-OFFICE / API</t>
        </is>
      </c>
      <c r="C31" s="179" t="n"/>
    </row>
    <row r="32">
      <c r="A32" s="175" t="n"/>
      <c r="B32" s="175" t="inlineStr">
        <is>
          <t>Affichage des offres publiées et génération du lien de candidature</t>
        </is>
      </c>
      <c r="C32" s="176" t="n">
        <v>1</v>
      </c>
    </row>
    <row r="33">
      <c r="A33" s="175" t="n"/>
      <c r="B33" s="175" t="inlineStr">
        <is>
          <t>Tests et debug</t>
        </is>
      </c>
      <c r="C33" s="176" t="n">
        <v>1</v>
      </c>
    </row>
    <row r="34">
      <c r="A34" s="177" t="n"/>
      <c r="B34" s="177" t="inlineStr">
        <is>
          <t>Sous-total</t>
        </is>
      </c>
      <c r="C34" s="178">
        <f>SUM(C24:C33)</f>
        <v/>
      </c>
    </row>
    <row r="35">
      <c r="A35" s="174" t="inlineStr">
        <is>
          <t>Sprint 3</t>
        </is>
      </c>
      <c r="B35" s="174" t="inlineStr">
        <is>
          <t>Dépôt et réception des candidatures</t>
        </is>
      </c>
      <c r="C35" s="174" t="n"/>
    </row>
    <row r="36">
      <c r="A36" s="179" t="n"/>
      <c r="B36" s="179" t="inlineStr">
        <is>
          <t>FRONT-OFFICE</t>
        </is>
      </c>
      <c r="C36" s="179" t="n"/>
    </row>
    <row r="37">
      <c r="A37" s="175" t="n"/>
      <c r="B37" s="175" t="inlineStr">
        <is>
          <t>Formulaire de candidature sur offre (temporaire)</t>
        </is>
      </c>
      <c r="C37" s="176" t="n">
        <v>0.5</v>
      </c>
    </row>
    <row r="38">
      <c r="A38" s="175" t="n"/>
      <c r="B38" s="175" t="inlineStr">
        <is>
          <t>Formulaire de candidature spontanée avec domaine (temporaire)</t>
        </is>
      </c>
      <c r="C38" s="176" t="n">
        <v>0.5</v>
      </c>
    </row>
    <row r="39">
      <c r="A39" s="175" t="n"/>
      <c r="B39" s="175" t="inlineStr">
        <is>
          <t>Upload des CV, photos et documents</t>
        </is>
      </c>
      <c r="C39" s="176" t="n">
        <v>1</v>
      </c>
    </row>
    <row r="40">
      <c r="A40" s="179" t="n"/>
      <c r="B40" s="179" t="inlineStr">
        <is>
          <t>BACK-OFFICE</t>
        </is>
      </c>
      <c r="C40" s="179" t="n"/>
    </row>
    <row r="41">
      <c r="A41" s="175" t="n"/>
      <c r="B41" s="175" t="inlineStr">
        <is>
          <t>Saisie manuelle d'une candidature par un RH</t>
        </is>
      </c>
      <c r="C41" s="176" t="n">
        <v>1</v>
      </c>
    </row>
    <row r="42">
      <c r="A42" s="179" t="n"/>
      <c r="B42" s="179" t="inlineStr">
        <is>
          <t>API / SERVICES</t>
        </is>
      </c>
      <c r="C42" s="179" t="n"/>
    </row>
    <row r="43">
      <c r="A43" s="175" t="n"/>
      <c r="B43" s="175" t="inlineStr">
        <is>
          <t>Détection d'un candidat existant et dédoublonnage par email</t>
        </is>
      </c>
      <c r="C43" s="176" t="n">
        <v>1</v>
      </c>
    </row>
    <row r="44">
      <c r="A44" s="175" t="n"/>
      <c r="B44" s="175" t="inlineStr">
        <is>
          <t>Création transactionnelle : candidat, candidature, statut initial, historique</t>
        </is>
      </c>
      <c r="C44" s="176" t="n">
        <v>2</v>
      </c>
    </row>
    <row r="45">
      <c r="A45" s="175" t="n"/>
      <c r="B45" s="175" t="inlineStr">
        <is>
          <t>Préparation de la réception/import depuis le site externe</t>
        </is>
      </c>
      <c r="C45" s="176" t="n">
        <v>0.5</v>
      </c>
    </row>
    <row r="46">
      <c r="A46" s="175" t="n"/>
      <c r="B46" s="175" t="inlineStr">
        <is>
          <t>Tests et debug</t>
        </is>
      </c>
      <c r="C46" s="176" t="n">
        <v>1</v>
      </c>
    </row>
    <row r="47">
      <c r="A47" s="177" t="n"/>
      <c r="B47" s="177" t="inlineStr">
        <is>
          <t>Sous-total</t>
        </is>
      </c>
      <c r="C47" s="178">
        <f>SUM(C36:C46)</f>
        <v/>
      </c>
    </row>
    <row r="48">
      <c r="A48" s="174" t="inlineStr">
        <is>
          <t>Sprint 4</t>
        </is>
      </c>
      <c r="B48" s="174" t="inlineStr">
        <is>
          <t>Gestion RH des candidatures et fiche candidat</t>
        </is>
      </c>
      <c r="C48" s="174" t="n"/>
    </row>
    <row r="49">
      <c r="A49" s="179" t="n"/>
      <c r="B49" s="179" t="inlineStr">
        <is>
          <t>BACK-OFFICE</t>
        </is>
      </c>
      <c r="C49" s="179" t="n"/>
    </row>
    <row r="50">
      <c r="A50" s="175" t="n"/>
      <c r="B50" s="175" t="inlineStr">
        <is>
          <t>Liste générale des candidatures avec pagination</t>
        </is>
      </c>
      <c r="C50" s="176" t="n">
        <v>0.5</v>
      </c>
    </row>
    <row r="51">
      <c r="A51" s="175" t="n"/>
      <c r="B51" s="175" t="inlineStr">
        <is>
          <t>Recherche et filtres : statut, direction, période, canal, type</t>
        </is>
      </c>
      <c r="C51" s="176" t="n">
        <v>0.5</v>
      </c>
    </row>
    <row r="52">
      <c r="A52" s="175" t="n"/>
      <c r="B52" s="175" t="inlineStr">
        <is>
          <t>Gestion des candidatures sur offre : Direction -&gt; Offre -&gt; Candidats</t>
        </is>
      </c>
      <c r="C52" s="176" t="n">
        <v>0.5</v>
      </c>
    </row>
    <row r="53">
      <c r="A53" s="175" t="n"/>
      <c r="B53" s="175" t="inlineStr">
        <is>
          <t>Gestion des candidatures spontanées : Direction -&gt; Domaine -&gt; Candidatures</t>
        </is>
      </c>
      <c r="C53" s="176" t="n">
        <v>0.5</v>
      </c>
    </row>
    <row r="54">
      <c r="A54" s="175" t="n"/>
      <c r="B54" s="175" t="inlineStr">
        <is>
          <t>Fiche candidat : informations, documents, historique statuts et communications</t>
        </is>
      </c>
      <c r="C54" s="176" t="n">
        <v>2</v>
      </c>
    </row>
    <row r="55">
      <c r="A55" s="175" t="n"/>
      <c r="B55" s="175" t="inlineStr">
        <is>
          <t>Changement de statut avec commentaire et historique</t>
        </is>
      </c>
      <c r="C55" s="176" t="n">
        <v>1.5</v>
      </c>
    </row>
    <row r="56">
      <c r="A56" s="175" t="n"/>
      <c r="B56" s="175" t="inlineStr">
        <is>
          <t>Export PDF de la fiche candidat</t>
        </is>
      </c>
      <c r="C56" s="176" t="n">
        <v>0.5</v>
      </c>
    </row>
    <row r="57">
      <c r="A57" s="175" t="n"/>
      <c r="B57" s="175" t="inlineStr">
        <is>
          <t>Tests et debug</t>
        </is>
      </c>
      <c r="C57" s="176" t="n">
        <v>1</v>
      </c>
    </row>
    <row r="58">
      <c r="A58" s="177" t="n"/>
      <c r="B58" s="177" t="inlineStr">
        <is>
          <t>Sous-total</t>
        </is>
      </c>
      <c r="C58" s="178">
        <f>SUM(C49:C57)</f>
        <v/>
      </c>
    </row>
    <row r="59">
      <c r="A59" s="174" t="inlineStr">
        <is>
          <t>Sprint 5</t>
        </is>
      </c>
      <c r="B59" s="174" t="inlineStr">
        <is>
          <t>Vivier, compétences et validation CV</t>
        </is>
      </c>
      <c r="C59" s="174" t="n"/>
    </row>
    <row r="60">
      <c r="A60" s="179" t="n"/>
      <c r="B60" s="179" t="inlineStr">
        <is>
          <t>BACK-OFFICE</t>
        </is>
      </c>
      <c r="C60" s="179" t="n"/>
    </row>
    <row r="61">
      <c r="A61" s="175" t="n"/>
      <c r="B61" s="175" t="inlineStr">
        <is>
          <t>Gestion du vivier : ajout, retrait, consultation</t>
        </is>
      </c>
      <c r="C61" s="176" t="n">
        <v>1</v>
      </c>
    </row>
    <row r="62">
      <c r="A62" s="175" t="n"/>
      <c r="B62" s="175" t="inlineStr">
        <is>
          <t>Recherche dans le vivier par compétence, domaine et direction</t>
        </is>
      </c>
      <c r="C62" s="176" t="n">
        <v>1</v>
      </c>
    </row>
    <row r="63">
      <c r="A63" s="175" t="n"/>
      <c r="B63" s="175" t="inlineStr">
        <is>
          <t>CRUD du référentiel des compétences</t>
        </is>
      </c>
      <c r="C63" s="176" t="n">
        <v>1</v>
      </c>
    </row>
    <row r="64">
      <c r="A64" s="175" t="n"/>
      <c r="B64" s="175" t="inlineStr">
        <is>
          <t>Gestion manuelle des compétences, expériences et formations candidat</t>
        </is>
      </c>
      <c r="C64" s="176" t="n">
        <v>1.5</v>
      </c>
    </row>
    <row r="65">
      <c r="A65" s="179" t="n"/>
      <c r="B65" s="179" t="inlineStr">
        <is>
          <t>OCR / IA</t>
        </is>
      </c>
      <c r="C65" s="179" t="n"/>
    </row>
    <row r="66">
      <c r="A66" s="175" t="n"/>
      <c r="B66" s="175" t="inlineStr">
        <is>
          <t>Intégration FastAPI et extraction OCR avec PaddleOCR</t>
        </is>
      </c>
      <c r="C66" s="176" t="n">
        <v>2</v>
      </c>
    </row>
    <row r="67">
      <c r="A67" s="175" t="n"/>
      <c r="B67" s="175" t="inlineStr">
        <is>
          <t>Extraction des compétences, expériences et formations depuis le CV</t>
        </is>
      </c>
      <c r="C67" s="176" t="n">
        <v>2</v>
      </c>
    </row>
    <row r="68">
      <c r="A68" s="175" t="n"/>
      <c r="B68" s="175" t="inlineStr">
        <is>
          <t>Validation, correction et rejet des données extraites</t>
        </is>
      </c>
      <c r="C68" s="176" t="n">
        <v>2</v>
      </c>
    </row>
    <row r="69">
      <c r="A69" s="175" t="n"/>
      <c r="B69" s="175" t="inlineStr">
        <is>
          <t>Tests et debug</t>
        </is>
      </c>
      <c r="C69" s="176" t="n">
        <v>1</v>
      </c>
    </row>
    <row r="70">
      <c r="A70" s="177" t="n"/>
      <c r="B70" s="177" t="inlineStr">
        <is>
          <t>Sous-total</t>
        </is>
      </c>
      <c r="C70" s="178">
        <f>SUM(C60:C69)</f>
        <v/>
      </c>
    </row>
    <row r="71">
      <c r="A71" s="174" t="inlineStr">
        <is>
          <t>Sprint 6</t>
        </is>
      </c>
      <c r="B71" s="174" t="inlineStr">
        <is>
          <t>Rendez-vous, communications, automatisation et modèles</t>
        </is>
      </c>
      <c r="C71" s="174" t="n"/>
    </row>
    <row r="72">
      <c r="A72" s="179" t="n"/>
      <c r="B72" s="179" t="inlineStr">
        <is>
          <t>BACK-OFFICE</t>
        </is>
      </c>
      <c r="C72" s="179" t="n"/>
    </row>
    <row r="73">
      <c r="A73" s="175" t="n"/>
      <c r="B73" s="175" t="inlineStr">
        <is>
          <t>CRUD des rendez-vous : test, entretien, statut, mode, responsable</t>
        </is>
      </c>
      <c r="C73" s="176" t="n">
        <v>2</v>
      </c>
    </row>
    <row r="74">
      <c r="A74" s="175" t="n"/>
      <c r="B74" s="175" t="inlineStr">
        <is>
          <t>Vue agenda par utilisateur, candidature et période</t>
        </is>
      </c>
      <c r="C74" s="176" t="n">
        <v>1</v>
      </c>
    </row>
    <row r="75">
      <c r="A75" s="175" t="n"/>
      <c r="B75" s="175" t="inlineStr">
        <is>
          <t>Communication liée aux rendez-vous</t>
        </is>
      </c>
      <c r="C75" s="176" t="n">
        <v>1</v>
      </c>
    </row>
    <row r="76">
      <c r="A76" s="175" t="n"/>
      <c r="B76" s="175" t="inlineStr">
        <is>
          <t>CRUD des modèles de communication</t>
        </is>
      </c>
      <c r="C76" s="176" t="n">
        <v>1</v>
      </c>
    </row>
    <row r="77">
      <c r="A77" s="175" t="n"/>
      <c r="B77" s="175" t="inlineStr">
        <is>
          <t>Accusé de réception et première communication automatique</t>
        </is>
      </c>
      <c r="C77" s="176" t="n">
        <v>0.5</v>
      </c>
    </row>
    <row r="78">
      <c r="A78" s="175" t="n"/>
      <c r="B78" s="175" t="inlineStr">
        <is>
          <t>Activation, désactivation et configuration de l'envoi automatique</t>
        </is>
      </c>
      <c r="C78" s="176" t="n">
        <v>1</v>
      </c>
    </row>
    <row r="79">
      <c r="A79" s="179" t="n"/>
      <c r="B79" s="179" t="inlineStr">
        <is>
          <t>API / SERVICES &amp; AUTOMATISATION</t>
        </is>
      </c>
      <c r="C79" s="179" t="n"/>
    </row>
    <row r="80">
      <c r="A80" s="175" t="n"/>
      <c r="B80" s="175" t="inlineStr">
        <is>
          <t>Récupération et ingestion des candidatures par E-mail via n8n &amp; FastAPI</t>
        </is>
      </c>
      <c r="C80" s="176" t="n">
        <v>1.5</v>
      </c>
    </row>
    <row r="81">
      <c r="A81" s="175" t="n"/>
      <c r="B81" s="175" t="inlineStr">
        <is>
          <t>Automatisation n8n : classification, routage, switch offre/spontanée et import</t>
        </is>
      </c>
      <c r="C81" s="176" t="n">
        <v>1</v>
      </c>
    </row>
    <row r="82">
      <c r="A82" s="175" t="n"/>
      <c r="B82" s="175" t="inlineStr">
        <is>
          <t>Envoi manuel, historique des communications et préparation des rappels</t>
        </is>
      </c>
      <c r="C82" s="176" t="n">
        <v>1.5</v>
      </c>
    </row>
    <row r="83">
      <c r="A83" s="175" t="n"/>
      <c r="B83" s="175" t="inlineStr">
        <is>
          <t>Log et Journalisation des actions RH (Audit Log)</t>
        </is>
      </c>
      <c r="C83" s="176" t="n">
        <v>1.5</v>
      </c>
    </row>
    <row r="84">
      <c r="A84" s="175" t="n"/>
      <c r="B84" s="175" t="inlineStr">
        <is>
          <t>Tests et debug</t>
        </is>
      </c>
      <c r="C84" s="176" t="n">
        <v>0.5</v>
      </c>
    </row>
    <row r="85">
      <c r="A85" s="177" t="n"/>
      <c r="B85" s="177" t="inlineStr">
        <is>
          <t>Sous-total</t>
        </is>
      </c>
      <c r="C85" s="178">
        <f>SUM(C72:C84)</f>
        <v/>
      </c>
    </row>
    <row r="86">
      <c r="A86" s="174" t="inlineStr">
        <is>
          <t>Sprint 7</t>
        </is>
      </c>
      <c r="B86" s="174" t="inlineStr">
        <is>
          <t>Dashboard, recherche avancée, matching, audit logs et finalisation</t>
        </is>
      </c>
      <c r="C86" s="174" t="n"/>
    </row>
    <row r="87">
      <c r="A87" s="179" t="n"/>
      <c r="B87" s="179" t="inlineStr">
        <is>
          <t>BACK-OFFICE</t>
        </is>
      </c>
      <c r="C87" s="179" t="n"/>
    </row>
    <row r="88">
      <c r="A88" s="175" t="n"/>
      <c r="B88" s="175" t="inlineStr">
        <is>
          <t>Tableau de bord et indicateurs principaux</t>
        </is>
      </c>
      <c r="C88" s="176" t="n">
        <v>1</v>
      </c>
    </row>
    <row r="89">
      <c r="A89" s="175" t="n"/>
      <c r="B89" s="175" t="inlineStr">
        <is>
          <t>Statistiques mensuelles, répartition par statut et taux de transformation</t>
        </is>
      </c>
      <c r="C89" s="176" t="n">
        <v>1.5</v>
      </c>
    </row>
    <row r="90">
      <c r="A90" s="175" t="n"/>
      <c r="B90" s="175" t="inlineStr">
        <is>
          <t>Délai moyen de traitement et filtres du dashboard</t>
        </is>
      </c>
      <c r="C90" s="176" t="n">
        <v>1</v>
      </c>
    </row>
    <row r="91">
      <c r="A91" s="175" t="n"/>
      <c r="B91" s="175" t="inlineStr">
        <is>
          <t>Consultation et filtrage du Journal d'Audit des actions RH</t>
        </is>
      </c>
      <c r="C91" s="176" t="n">
        <v>1</v>
      </c>
    </row>
    <row r="92">
      <c r="A92" s="175" t="n"/>
      <c r="B92" s="175" t="inlineStr">
        <is>
          <t>Recherche avancée par mots-clés CV et compétences</t>
        </is>
      </c>
      <c r="C92" s="176" t="n">
        <v>1.5</v>
      </c>
    </row>
    <row r="93">
      <c r="A93" s="175" t="n"/>
      <c r="B93" s="175" t="inlineStr">
        <is>
          <t>Matching candidat -&gt; offre avec score simple</t>
        </is>
      </c>
      <c r="C93" s="176" t="n">
        <v>2</v>
      </c>
    </row>
    <row r="94">
      <c r="A94" s="175" t="n"/>
      <c r="B94" s="175" t="inlineStr">
        <is>
          <t>Tests fonctionnels globaux, corrections et optimisation</t>
        </is>
      </c>
      <c r="C94" s="176" t="n">
        <v>1.5</v>
      </c>
    </row>
    <row r="95">
      <c r="A95" s="175" t="n"/>
      <c r="B95" s="175" t="inlineStr">
        <is>
          <t>Documentation et préparation du déploiement</t>
        </is>
      </c>
      <c r="C95" s="176" t="n">
        <v>1.5</v>
      </c>
    </row>
    <row r="96">
      <c r="A96" s="177" t="n"/>
      <c r="B96" s="177" t="inlineStr">
        <is>
          <t>Sous-total</t>
        </is>
      </c>
      <c r="C96" s="178">
        <f>SUM(C87:C95)</f>
        <v/>
      </c>
    </row>
    <row r="97">
      <c r="A97" s="180" t="n"/>
      <c r="B97" s="180" t="inlineStr">
        <is>
          <t>Total Scope</t>
        </is>
      </c>
      <c r="C97" s="181">
        <f>SUM(C11,C22,C34,C47,C58,C70,C85,C96)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46"/>
  <sheetViews>
    <sheetView workbookViewId="0">
      <selection activeCell="A1" sqref="A1"/>
    </sheetView>
  </sheetViews>
  <sheetFormatPr baseColWidth="10" defaultColWidth="12.5703125" defaultRowHeight="15" customHeight="1"/>
  <cols>
    <col width="12.5703125" customWidth="1" style="77" min="1" max="2"/>
    <col width="8" customWidth="1" style="77" min="3" max="3"/>
    <col width="42.28515625" customWidth="1" style="77" min="4" max="4"/>
    <col width="12.5703125" customWidth="1" style="77" min="5" max="6"/>
  </cols>
  <sheetData>
    <row r="1" ht="15.75" customHeight="1" s="77">
      <c r="A1" s="21" t="n"/>
      <c r="B1" s="138" t="n"/>
      <c r="C1" s="139" t="n"/>
      <c r="D1" s="6" t="inlineStr">
        <is>
          <t>Tâches</t>
        </is>
      </c>
      <c r="E1" s="6" t="inlineStr">
        <is>
          <t>Estimation en jours</t>
        </is>
      </c>
    </row>
    <row r="2" ht="15.75" customHeight="1" s="77">
      <c r="A2" s="28" t="inlineStr">
        <is>
          <t>Préparation</t>
        </is>
      </c>
      <c r="B2" s="140" t="n"/>
      <c r="C2" s="141" t="n"/>
      <c r="D2" s="16" t="inlineStr">
        <is>
          <t>Étude et prise en main du projet</t>
        </is>
      </c>
      <c r="E2" s="18" t="n">
        <v>4</v>
      </c>
    </row>
    <row r="3" ht="15.75" customHeight="1" s="77">
      <c r="A3" s="142" t="n"/>
      <c r="C3" s="143" t="n"/>
      <c r="D3" s="16" t="inlineStr">
        <is>
          <t>Développement des compétences nécessaires</t>
        </is>
      </c>
      <c r="E3" s="18" t="n">
        <v>1</v>
      </c>
    </row>
    <row r="4" ht="15.75" customHeight="1" s="77">
      <c r="A4" s="142" t="n"/>
      <c r="C4" s="143" t="n"/>
      <c r="D4" s="16" t="inlineStr">
        <is>
          <t>Installation des environnements</t>
        </is>
      </c>
      <c r="E4" s="18" t="n">
        <v>1</v>
      </c>
    </row>
    <row r="5" ht="15.75" customHeight="1" s="77">
      <c r="A5" s="142" t="n"/>
      <c r="C5" s="143" t="n"/>
      <c r="D5" s="16" t="inlineStr">
        <is>
          <t>Analyse et conception</t>
        </is>
      </c>
      <c r="E5" s="21" t="n"/>
    </row>
    <row r="6" ht="15.75" customHeight="1" s="77">
      <c r="A6" s="142" t="n"/>
      <c r="C6" s="143" t="n"/>
      <c r="D6" s="13" t="inlineStr">
        <is>
          <t>Analyse, conception</t>
        </is>
      </c>
      <c r="E6" s="12" t="n">
        <v>4</v>
      </c>
    </row>
    <row r="7" ht="15.75" customHeight="1" s="77">
      <c r="A7" s="142" t="n"/>
      <c r="C7" s="143" t="n"/>
      <c r="D7" s="16" t="inlineStr">
        <is>
          <t>Design</t>
        </is>
      </c>
      <c r="E7" s="21" t="n"/>
    </row>
    <row r="8" ht="15.75" customHeight="1" s="77">
      <c r="A8" s="142" t="n"/>
      <c r="C8" s="143" t="n"/>
      <c r="D8" s="13" t="inlineStr">
        <is>
          <t>Création des pages</t>
        </is>
      </c>
      <c r="E8" s="12" t="n">
        <v>4</v>
      </c>
    </row>
    <row r="9" ht="15.75" customHeight="1" s="77">
      <c r="A9" s="144" t="n"/>
      <c r="B9" s="145" t="n"/>
      <c r="C9" s="146" t="n"/>
      <c r="D9" s="18" t="inlineStr">
        <is>
          <t>Sous Total</t>
        </is>
      </c>
      <c r="E9" s="18">
        <f>SUM(E2:E8)</f>
        <v/>
      </c>
    </row>
    <row r="10" ht="15.75" customHeight="1" s="77">
      <c r="A10" s="28" t="inlineStr">
        <is>
          <t>Développement</t>
        </is>
      </c>
      <c r="B10" s="140" t="n"/>
      <c r="C10" s="141" t="n"/>
      <c r="D10" s="25" t="inlineStr">
        <is>
          <t>Gestion d'utilisateur</t>
        </is>
      </c>
      <c r="E10" s="21" t="n"/>
    </row>
    <row r="11" ht="15.75" customHeight="1" s="77">
      <c r="A11" s="142" t="n"/>
      <c r="C11" s="143" t="n"/>
      <c r="D11" s="13" t="inlineStr">
        <is>
          <t>Récupération des données utilisateurs dans AD ou GLPI</t>
        </is>
      </c>
      <c r="E11" s="12" t="n">
        <v>3</v>
      </c>
    </row>
    <row r="12" ht="15.75" customHeight="1" s="77">
      <c r="A12" s="142" t="n"/>
      <c r="C12" s="143" t="n"/>
      <c r="D12" s="13" t="inlineStr">
        <is>
          <t>Connexion profil</t>
        </is>
      </c>
      <c r="E12" s="12" t="n">
        <v>2</v>
      </c>
    </row>
    <row r="13" ht="15.75" customHeight="1" s="77">
      <c r="A13" s="142" t="n"/>
      <c r="C13" s="143" t="n"/>
      <c r="D13" s="13" t="inlineStr">
        <is>
          <t>Gestion permission</t>
        </is>
      </c>
      <c r="E13" s="12" t="n">
        <v>3</v>
      </c>
    </row>
    <row r="14" ht="15.75" customHeight="1" s="77">
      <c r="A14" s="142" t="n"/>
      <c r="C14" s="143" t="n"/>
      <c r="D14" s="3" t="inlineStr">
        <is>
          <t>Visualisation de profil</t>
        </is>
      </c>
      <c r="E14" s="12" t="n">
        <v>1</v>
      </c>
    </row>
    <row r="15" ht="15.75" customHeight="1" s="77">
      <c r="A15" s="142" t="n"/>
      <c r="C15" s="143" t="n"/>
      <c r="D15" s="25" t="inlineStr">
        <is>
          <t>Paramétrage</t>
        </is>
      </c>
      <c r="E15" s="21" t="n"/>
    </row>
    <row r="16" ht="15.75" customHeight="1" s="77">
      <c r="A16" s="142" t="n"/>
      <c r="C16" s="143" t="n"/>
      <c r="D16" s="13" t="inlineStr">
        <is>
          <t>CRUD Type de Compte</t>
        </is>
      </c>
      <c r="E16" s="12" t="n">
        <v>1</v>
      </c>
    </row>
    <row r="17" ht="15.75" customHeight="1" s="77">
      <c r="A17" s="142" t="n"/>
      <c r="C17" s="143" t="n"/>
      <c r="D17" s="13" t="inlineStr">
        <is>
          <t>CRUD Utilisateurs</t>
        </is>
      </c>
      <c r="E17" s="12" t="n">
        <v>1</v>
      </c>
    </row>
    <row r="18" ht="15.75" customHeight="1" s="77">
      <c r="A18" s="142" t="n"/>
      <c r="C18" s="143" t="n"/>
      <c r="D18" s="13" t="inlineStr">
        <is>
          <t>CRUD Demande</t>
        </is>
      </c>
      <c r="E18" s="12" t="n">
        <v>2</v>
      </c>
    </row>
    <row r="19" ht="15.75" customHeight="1" s="77">
      <c r="A19" s="142" t="n"/>
      <c r="C19" s="143" t="n"/>
      <c r="D19" s="13" t="inlineStr">
        <is>
          <t>CRUD Type de Demande</t>
        </is>
      </c>
      <c r="E19" s="12" t="n">
        <v>1</v>
      </c>
    </row>
    <row r="20" ht="15.75" customHeight="1" s="77">
      <c r="A20" s="142" t="n"/>
      <c r="C20" s="143" t="n"/>
      <c r="D20" s="13" t="inlineStr">
        <is>
          <t>CRUD Diagnostics</t>
        </is>
      </c>
      <c r="E20" s="12" t="n">
        <v>2</v>
      </c>
    </row>
    <row r="21" ht="15.75" customHeight="1" s="77">
      <c r="A21" s="142" t="n"/>
      <c r="C21" s="143" t="n"/>
      <c r="D21" s="25" t="inlineStr">
        <is>
          <t>Gestion des Demandes</t>
        </is>
      </c>
      <c r="E21" s="21" t="n"/>
    </row>
    <row r="22" ht="15.75" customHeight="1" s="77">
      <c r="A22" s="142" t="n"/>
      <c r="C22" s="143" t="n"/>
      <c r="D22" s="13" t="inlineStr">
        <is>
          <t>Upload d'image dans l'ajout des tickets</t>
        </is>
      </c>
      <c r="E22" s="12" t="n">
        <v>1</v>
      </c>
    </row>
    <row r="23" ht="15.75" customHeight="1" s="77">
      <c r="A23" s="142" t="n"/>
      <c r="C23" s="143" t="n"/>
      <c r="D23" s="13" t="inlineStr">
        <is>
          <t>Diagnostic des demandes</t>
        </is>
      </c>
      <c r="E23" s="12" t="n">
        <v>2</v>
      </c>
    </row>
    <row r="24" ht="15.75" customHeight="1" s="77">
      <c r="A24" s="142" t="n"/>
      <c r="C24" s="143" t="n"/>
      <c r="D24" s="13" t="inlineStr">
        <is>
          <t>Validation ou refus des tickets</t>
        </is>
      </c>
      <c r="E24" s="12" t="n">
        <v>2</v>
      </c>
    </row>
    <row r="25" ht="15.75" customHeight="1" s="77">
      <c r="A25" s="142" t="n"/>
      <c r="C25" s="143" t="n"/>
      <c r="D25" s="13" t="inlineStr">
        <is>
          <t>Assignation avec délai du demande</t>
        </is>
      </c>
      <c r="E25" s="12" t="n">
        <v>2</v>
      </c>
    </row>
    <row r="26" ht="15.75" customHeight="1" s="77">
      <c r="A26" s="142" t="n"/>
      <c r="C26" s="143" t="n"/>
      <c r="D26" s="13" t="inlineStr">
        <is>
          <t>Saisie de l'intervention avec durée</t>
        </is>
      </c>
      <c r="E26" s="12" t="n">
        <v>3</v>
      </c>
    </row>
    <row r="27" ht="15.75" customHeight="1" s="77">
      <c r="A27" s="142" t="n"/>
      <c r="C27" s="143" t="n"/>
      <c r="D27" s="29" t="inlineStr">
        <is>
          <t>Gestion des retours de satisfaction des utilisateurs avec clôture de la demande</t>
        </is>
      </c>
      <c r="E27" s="12" t="n">
        <v>2</v>
      </c>
    </row>
    <row r="28" ht="15.75" customHeight="1" s="77">
      <c r="A28" s="142" t="n"/>
      <c r="C28" s="143" t="n"/>
      <c r="D28" s="30" t="inlineStr">
        <is>
          <t>Vue détaillé de chaque demande</t>
        </is>
      </c>
      <c r="E28" s="12" t="n">
        <v>2</v>
      </c>
    </row>
    <row r="29" ht="15.75" customHeight="1" s="77">
      <c r="A29" s="142" t="n"/>
      <c r="C29" s="143" t="n"/>
      <c r="D29" s="25" t="inlineStr">
        <is>
          <t>Suivi des Demandes</t>
        </is>
      </c>
      <c r="E29" s="21" t="n"/>
    </row>
    <row r="30" ht="15.75" customHeight="1" s="77">
      <c r="A30" s="142" t="n"/>
      <c r="C30" s="143" t="n"/>
      <c r="D30" s="13" t="inlineStr">
        <is>
          <t>Generation de rapport sur les demandes en format PDF</t>
        </is>
      </c>
      <c r="E30" s="12" t="n">
        <v>2</v>
      </c>
    </row>
    <row r="31" ht="15.75" customHeight="1" s="77">
      <c r="A31" s="142" t="n"/>
      <c r="C31" s="143" t="n"/>
      <c r="D31" s="13" t="inlineStr">
        <is>
          <t>Filtrage par statut des demandes</t>
        </is>
      </c>
      <c r="E31" s="12" t="n">
        <v>1</v>
      </c>
    </row>
    <row r="32" ht="15.75" customHeight="1" s="77">
      <c r="A32" s="142" t="n"/>
      <c r="C32" s="143" t="n"/>
      <c r="D32" s="13" t="inlineStr">
        <is>
          <t>Recherche multicritere</t>
        </is>
      </c>
      <c r="E32" s="12" t="n">
        <v>1</v>
      </c>
    </row>
    <row r="33" ht="15.75" customHeight="1" s="77">
      <c r="A33" s="142" t="n"/>
      <c r="C33" s="143" t="n"/>
      <c r="D33" s="13" t="inlineStr">
        <is>
          <t>Recherche entre deux dates</t>
        </is>
      </c>
      <c r="E33" s="12" t="n">
        <v>1</v>
      </c>
    </row>
    <row r="34" ht="15.75" customHeight="1" s="77">
      <c r="A34" s="142" t="n"/>
      <c r="C34" s="143" t="n"/>
      <c r="D34" s="25" t="inlineStr">
        <is>
          <t>Etats d'analyse et statistiques</t>
        </is>
      </c>
      <c r="E34" s="21" t="n"/>
    </row>
    <row r="35" ht="15.75" customHeight="1" s="77">
      <c r="A35" s="142" t="n"/>
      <c r="C35" s="143" t="n"/>
      <c r="D35" s="13" t="inlineStr">
        <is>
          <t>Nombre de ticket par statut</t>
        </is>
      </c>
      <c r="E35" s="12" t="n">
        <v>2</v>
      </c>
    </row>
    <row r="36" ht="15.75" customHeight="1" s="77">
      <c r="A36" s="142" t="n"/>
      <c r="C36" s="143" t="n"/>
      <c r="D36" s="3" t="inlineStr">
        <is>
          <t>Total des tickets</t>
        </is>
      </c>
      <c r="E36" s="12" t="n">
        <v>1</v>
      </c>
    </row>
    <row r="37" ht="15.75" customHeight="1" s="77">
      <c r="A37" s="142" t="n"/>
      <c r="C37" s="143" t="n"/>
      <c r="D37" s="13" t="inlineStr">
        <is>
          <t>Chart graphique</t>
        </is>
      </c>
      <c r="E37" s="12" t="n">
        <v>2</v>
      </c>
    </row>
    <row r="38" ht="15.75" customHeight="1" s="77">
      <c r="A38" s="142" t="n"/>
      <c r="C38" s="143" t="n"/>
      <c r="D38" s="13" t="inlineStr">
        <is>
          <t>Suivi des tickets en retard</t>
        </is>
      </c>
      <c r="E38" s="12" t="n">
        <v>2</v>
      </c>
    </row>
    <row r="39" ht="15.75" customHeight="1" s="77">
      <c r="A39" s="142" t="n"/>
      <c r="C39" s="143" t="n"/>
      <c r="D39" s="13" t="inlineStr">
        <is>
          <t>Système de notification par e-mail</t>
        </is>
      </c>
      <c r="E39" s="12" t="n">
        <v>2</v>
      </c>
    </row>
    <row r="40" ht="15.75" customHeight="1" s="77">
      <c r="A40" s="144" t="n"/>
      <c r="B40" s="145" t="n"/>
      <c r="C40" s="146" t="n"/>
      <c r="D40" s="19" t="inlineStr">
        <is>
          <t>Sous Total</t>
        </is>
      </c>
      <c r="E40" s="18">
        <f>SUM(E10:E39)</f>
        <v/>
      </c>
    </row>
    <row r="41" ht="15.75" customHeight="1" s="77">
      <c r="A41" s="28" t="inlineStr">
        <is>
          <t>Tests</t>
        </is>
      </c>
      <c r="B41" s="138" t="n"/>
      <c r="C41" s="139" t="n"/>
      <c r="D41" s="13" t="inlineStr">
        <is>
          <t>Tests et corrections</t>
        </is>
      </c>
      <c r="E41" s="12" t="n">
        <v>2</v>
      </c>
    </row>
    <row r="42" ht="15.75" customHeight="1" s="77">
      <c r="A42" s="28" t="inlineStr">
        <is>
          <t>Déploiement</t>
        </is>
      </c>
      <c r="B42" s="138" t="n"/>
      <c r="C42" s="139" t="n"/>
      <c r="D42" s="13" t="inlineStr">
        <is>
          <t>Déploiement local et cloud</t>
        </is>
      </c>
      <c r="E42" s="12" t="n">
        <v>1</v>
      </c>
    </row>
    <row r="43" ht="15.75" customHeight="1" s="77">
      <c r="A43" s="28" t="inlineStr">
        <is>
          <t>Formation</t>
        </is>
      </c>
      <c r="B43" s="140" t="n"/>
      <c r="C43" s="141" t="n"/>
      <c r="D43" s="13" t="inlineStr">
        <is>
          <t>Rédaction manuel d'utilisation</t>
        </is>
      </c>
      <c r="E43" s="12" t="n">
        <v>1</v>
      </c>
    </row>
    <row r="44" ht="15.75" customHeight="1" s="77">
      <c r="A44" s="144" t="n"/>
      <c r="B44" s="145" t="n"/>
      <c r="C44" s="146" t="n"/>
      <c r="D44" s="13" t="inlineStr">
        <is>
          <t>Formation utilisateur</t>
        </is>
      </c>
      <c r="E44" s="12" t="n">
        <v>1</v>
      </c>
    </row>
    <row r="45" ht="15.75" customHeight="1" s="77">
      <c r="A45" s="28" t="inlineStr">
        <is>
          <t>Gestion de projet</t>
        </is>
      </c>
      <c r="B45" s="138" t="n"/>
      <c r="C45" s="139" t="n"/>
      <c r="D45" s="13" t="inlineStr">
        <is>
          <t>Gestion de projet</t>
        </is>
      </c>
      <c r="E45" s="12" t="n">
        <v>2</v>
      </c>
    </row>
    <row r="46" ht="15.75" customHeight="1" s="77">
      <c r="A46" s="3" t="n"/>
      <c r="B46" s="3" t="n"/>
      <c r="C46" s="3" t="n"/>
      <c r="D46" s="3" t="n"/>
      <c r="E46" s="33">
        <f>SUM(E41:E45)+E40+E9</f>
        <v/>
      </c>
    </row>
    <row r="47" ht="15.75" customHeight="1" s="77"/>
    <row r="48" ht="15.75" customHeight="1" s="77"/>
    <row r="49" ht="15.75" customHeight="1" s="77"/>
    <row r="50" ht="15.75" customHeight="1" s="77"/>
    <row r="51" ht="15.75" customHeight="1" s="77"/>
    <row r="52" ht="15.75" customHeight="1" s="77"/>
    <row r="53" ht="15.75" customHeight="1" s="77"/>
    <row r="54" ht="15.75" customHeight="1" s="77"/>
    <row r="55" ht="15.75" customHeight="1" s="77"/>
    <row r="56" ht="15.75" customHeight="1" s="77"/>
    <row r="57" ht="15.75" customHeight="1" s="77"/>
    <row r="58" ht="15.75" customHeight="1" s="77"/>
    <row r="59" ht="15.75" customHeight="1" s="77"/>
    <row r="60" ht="15.75" customHeight="1" s="77"/>
    <row r="61" ht="15.75" customHeight="1" s="77"/>
    <row r="62" ht="15.75" customHeight="1" s="77"/>
    <row r="63" ht="15.75" customHeight="1" s="77"/>
    <row r="64" ht="15.75" customHeight="1" s="77"/>
    <row r="65" ht="15.75" customHeight="1" s="77"/>
    <row r="66" ht="15.75" customHeight="1" s="77"/>
    <row r="67" ht="15.75" customHeight="1" s="77"/>
    <row r="68" ht="15.75" customHeight="1" s="77"/>
    <row r="69" ht="15.75" customHeight="1" s="77"/>
    <row r="70" ht="15.75" customHeight="1" s="77"/>
    <row r="71" ht="15.75" customHeight="1" s="77"/>
    <row r="72" ht="15.75" customHeight="1" s="77"/>
    <row r="73" ht="15.75" customHeight="1" s="77"/>
    <row r="74" ht="15.75" customHeight="1" s="77"/>
    <row r="75" ht="15.75" customHeight="1" s="77"/>
    <row r="76" ht="15.75" customHeight="1" s="77"/>
    <row r="77" ht="15.75" customHeight="1" s="77"/>
    <row r="78" ht="15.75" customHeight="1" s="77"/>
    <row r="79" ht="15.75" customHeight="1" s="77"/>
    <row r="80" ht="15.75" customHeight="1" s="77"/>
    <row r="81" ht="15.75" customHeight="1" s="77"/>
    <row r="82" ht="15.75" customHeight="1" s="77"/>
    <row r="83" ht="15.75" customHeight="1" s="77"/>
    <row r="84" ht="15.75" customHeight="1" s="77"/>
    <row r="85" ht="15.75" customHeight="1" s="77"/>
    <row r="86" ht="15.75" customHeight="1" s="77"/>
    <row r="87" ht="15.75" customHeight="1" s="77"/>
    <row r="88" ht="15.75" customHeight="1" s="77"/>
    <row r="89" ht="15.75" customHeight="1" s="77"/>
    <row r="90" ht="15.75" customHeight="1" s="77"/>
    <row r="91" ht="15.75" customHeight="1" s="77"/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mergeCells count="7">
    <mergeCell ref="A42:C42"/>
    <mergeCell ref="A41:C41"/>
    <mergeCell ref="A45:C45"/>
    <mergeCell ref="A10:C40"/>
    <mergeCell ref="A1:C1"/>
    <mergeCell ref="A2:C9"/>
    <mergeCell ref="A43:C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42"/>
  <sheetViews>
    <sheetView workbookViewId="0">
      <selection activeCell="A1" sqref="A1"/>
    </sheetView>
  </sheetViews>
  <sheetFormatPr baseColWidth="10" defaultColWidth="12.5703125" defaultRowHeight="15" customHeight="1"/>
  <cols>
    <col width="12.5703125" customWidth="1" style="77" min="1" max="1"/>
    <col width="34.28515625" customWidth="1" style="77" min="2" max="2"/>
    <col width="19.7109375" customWidth="1" style="77" min="3" max="3"/>
    <col width="12.5703125" customWidth="1" style="77" min="4" max="6"/>
  </cols>
  <sheetData>
    <row r="1" ht="15.75" customHeight="1" s="77">
      <c r="A1" s="4" t="inlineStr">
        <is>
          <t>Etapes</t>
        </is>
      </c>
      <c r="B1" s="4" t="inlineStr">
        <is>
          <t>Tâches</t>
        </is>
      </c>
      <c r="C1" s="4" t="inlineStr">
        <is>
          <t>Estimation en jours</t>
        </is>
      </c>
    </row>
    <row r="2" ht="15.75" customHeight="1" s="77">
      <c r="A2" s="28" t="inlineStr">
        <is>
          <t>Préparation</t>
        </is>
      </c>
      <c r="B2" s="9" t="inlineStr">
        <is>
          <t>Prise en main</t>
        </is>
      </c>
      <c r="C2" s="11" t="n">
        <v>2</v>
      </c>
    </row>
    <row r="3" ht="15.75" customHeight="1" s="77">
      <c r="A3" s="162" t="n"/>
      <c r="B3" s="9" t="inlineStr">
        <is>
          <t>Installation environnements</t>
        </is>
      </c>
      <c r="C3" s="11" t="n">
        <v>1</v>
      </c>
    </row>
    <row r="4" ht="15.75" customHeight="1" s="77">
      <c r="A4" s="162" t="n"/>
      <c r="B4" s="13" t="inlineStr">
        <is>
          <t>Analyse et conception</t>
        </is>
      </c>
      <c r="C4" s="14" t="n">
        <v>4</v>
      </c>
    </row>
    <row r="5" ht="15.75" customHeight="1" s="77">
      <c r="A5" s="162" t="n"/>
      <c r="B5" s="13" t="inlineStr">
        <is>
          <t>Maquette</t>
        </is>
      </c>
      <c r="C5" s="14" t="n">
        <v>5</v>
      </c>
    </row>
    <row r="6" ht="15.75" customHeight="1" s="77">
      <c r="A6" s="163" t="n"/>
      <c r="B6" s="19" t="inlineStr">
        <is>
          <t>Sous-total</t>
        </is>
      </c>
      <c r="C6" s="23">
        <f>SUM(C2:C5)</f>
        <v/>
      </c>
    </row>
    <row r="7" ht="15.75" customHeight="1" s="77">
      <c r="A7" s="28" t="inlineStr">
        <is>
          <t>Réalisation</t>
        </is>
      </c>
      <c r="B7" s="24" t="inlineStr">
        <is>
          <t>Gestion utilisateur</t>
        </is>
      </c>
      <c r="C7" s="13" t="n"/>
    </row>
    <row r="8" ht="15.75" customHeight="1" s="77">
      <c r="A8" s="162" t="n"/>
      <c r="B8" s="13" t="inlineStr">
        <is>
          <t>Connexion</t>
        </is>
      </c>
      <c r="C8" s="14" t="n">
        <v>2</v>
      </c>
    </row>
    <row r="9" ht="15.75" customHeight="1" s="77">
      <c r="A9" s="162" t="n"/>
      <c r="B9" s="13" t="inlineStr">
        <is>
          <t>Gestion rôles et permissions</t>
        </is>
      </c>
      <c r="C9" s="14" t="n">
        <v>3</v>
      </c>
    </row>
    <row r="10" ht="15.75" customHeight="1" s="77">
      <c r="A10" s="162" t="n"/>
      <c r="B10" s="24" t="inlineStr">
        <is>
          <t>Gestion personnel</t>
        </is>
      </c>
      <c r="C10" s="13" t="n"/>
    </row>
    <row r="11" ht="15.75" customHeight="1" s="77">
      <c r="A11" s="162" t="n"/>
      <c r="B11" s="9" t="inlineStr">
        <is>
          <t>CRUD contrat</t>
        </is>
      </c>
      <c r="C11" s="14" t="n">
        <v>1</v>
      </c>
    </row>
    <row r="12" ht="15.75" customHeight="1" s="77">
      <c r="A12" s="162" t="n"/>
      <c r="B12" s="13" t="inlineStr">
        <is>
          <t>CRUD direction</t>
        </is>
      </c>
      <c r="C12" s="14" t="n">
        <v>1</v>
      </c>
    </row>
    <row r="13" ht="15.75" customHeight="1" s="77">
      <c r="A13" s="162" t="n"/>
      <c r="B13" s="13" t="inlineStr">
        <is>
          <t>CRUD personnel</t>
        </is>
      </c>
      <c r="C13" s="14" t="n">
        <v>3</v>
      </c>
    </row>
    <row r="14" ht="15.75" customHeight="1" s="77">
      <c r="A14" s="162" t="n"/>
      <c r="B14" s="24" t="inlineStr">
        <is>
          <t>Gestion ressources</t>
        </is>
      </c>
      <c r="C14" s="13" t="n"/>
    </row>
    <row r="15" ht="15.75" customHeight="1" s="77">
      <c r="A15" s="162" t="n"/>
      <c r="B15" s="13" t="inlineStr">
        <is>
          <t>CRUD ressources</t>
        </is>
      </c>
      <c r="C15" s="14" t="n">
        <v>3</v>
      </c>
    </row>
    <row r="16" ht="15.75" customHeight="1" s="77">
      <c r="A16" s="162" t="n"/>
      <c r="B16" s="13" t="inlineStr">
        <is>
          <t>CRUD profil</t>
        </is>
      </c>
      <c r="C16" s="14" t="n">
        <v>2</v>
      </c>
    </row>
    <row r="17" ht="15.75" customHeight="1" s="77">
      <c r="A17" s="162" t="n"/>
      <c r="B17" s="24" t="inlineStr">
        <is>
          <t>Gestion habilitation</t>
        </is>
      </c>
      <c r="C17" s="13" t="n"/>
    </row>
    <row r="18" ht="15.75" customHeight="1" s="77">
      <c r="A18" s="162" t="n"/>
      <c r="B18" s="13" t="inlineStr">
        <is>
          <t>CRUD demande</t>
        </is>
      </c>
      <c r="C18" s="14" t="n">
        <v>2</v>
      </c>
    </row>
    <row r="19" ht="15.75" customHeight="1" s="77">
      <c r="A19" s="162" t="n"/>
      <c r="B19" s="13" t="inlineStr">
        <is>
          <t>Acceptation/refus et validation</t>
        </is>
      </c>
      <c r="C19" s="14" t="n">
        <v>1</v>
      </c>
    </row>
    <row r="20" ht="15.75" customHeight="1" s="77">
      <c r="A20" s="162" t="n"/>
      <c r="B20" s="13" t="inlineStr">
        <is>
          <t>CRUD habilitation</t>
        </is>
      </c>
      <c r="C20" s="14" t="n">
        <v>2</v>
      </c>
    </row>
    <row r="21" ht="15.75" customHeight="1" s="77">
      <c r="A21" s="162" t="n"/>
      <c r="B21" s="13" t="inlineStr">
        <is>
          <t>Historique demande</t>
        </is>
      </c>
      <c r="C21" s="14" t="n">
        <v>2</v>
      </c>
    </row>
    <row r="22" ht="15.75" customHeight="1" s="77">
      <c r="A22" s="162" t="n"/>
      <c r="B22" s="13" t="inlineStr">
        <is>
          <t>Historique habilitation</t>
        </is>
      </c>
      <c r="C22" s="14" t="n">
        <v>1</v>
      </c>
    </row>
    <row r="23" ht="15.75" customHeight="1" s="77">
      <c r="A23" s="162" t="n"/>
      <c r="B23" s="13" t="inlineStr">
        <is>
          <t>Export fiche habilitation</t>
        </is>
      </c>
      <c r="C23" s="14" t="n">
        <v>1</v>
      </c>
    </row>
    <row r="24" ht="15.75" customHeight="1" s="77">
      <c r="A24" s="162" t="n"/>
      <c r="B24" s="24" t="inlineStr">
        <is>
          <t>Suivi utilisateur</t>
        </is>
      </c>
      <c r="C24" s="13" t="n"/>
    </row>
    <row r="25" ht="15.75" customHeight="1" s="77">
      <c r="A25" s="162" t="n"/>
      <c r="B25" s="13" t="inlineStr">
        <is>
          <t>Historique d'activités</t>
        </is>
      </c>
      <c r="C25" s="14" t="n">
        <v>3</v>
      </c>
    </row>
    <row r="26" ht="15.75" customHeight="1" s="77">
      <c r="A26" s="162" t="n"/>
      <c r="B26" s="13" t="inlineStr">
        <is>
          <t>Recherche par période/action</t>
        </is>
      </c>
      <c r="C26" s="14" t="n">
        <v>2</v>
      </c>
    </row>
    <row r="27" ht="15.75" customHeight="1" s="77">
      <c r="A27" s="162" t="n"/>
      <c r="B27" s="24" t="inlineStr">
        <is>
          <t>Notification</t>
        </is>
      </c>
      <c r="C27" s="13" t="n"/>
    </row>
    <row r="28" ht="15.75" customHeight="1" s="77">
      <c r="A28" s="162" t="n"/>
      <c r="B28" s="13" t="inlineStr">
        <is>
          <t>Notification changement sur les habilitations</t>
        </is>
      </c>
      <c r="C28" s="14" t="n">
        <v>2</v>
      </c>
    </row>
    <row r="29" ht="15.75" customHeight="1" s="77">
      <c r="A29" s="162" t="n"/>
      <c r="B29" s="13" t="inlineStr">
        <is>
          <t>Paramétrages</t>
        </is>
      </c>
      <c r="C29" s="14" t="n">
        <v>3</v>
      </c>
    </row>
    <row r="30" ht="15.75" customHeight="1" s="77">
      <c r="A30" s="162" t="n"/>
      <c r="B30" s="24" t="inlineStr">
        <is>
          <t>Etat d'analyse et statistiques</t>
        </is>
      </c>
      <c r="C30" s="13" t="n"/>
    </row>
    <row r="31" ht="15.75" customHeight="1" s="77">
      <c r="A31" s="162" t="n"/>
      <c r="B31" s="13" t="inlineStr">
        <is>
          <t>Tableau de bord</t>
        </is>
      </c>
      <c r="C31" s="14" t="n">
        <v>3</v>
      </c>
    </row>
    <row r="32" ht="15.75" customHeight="1" s="77">
      <c r="A32" s="162" t="n"/>
      <c r="B32" s="13" t="inlineStr">
        <is>
          <t>Tri et filtre</t>
        </is>
      </c>
      <c r="C32" s="14" t="n">
        <v>2</v>
      </c>
    </row>
    <row r="33" ht="15.75" customHeight="1" s="77">
      <c r="A33" s="163" t="n"/>
      <c r="B33" s="19" t="inlineStr">
        <is>
          <t>Sous-total</t>
        </is>
      </c>
      <c r="C33" s="23">
        <f>SUM(C7:C32)</f>
        <v/>
      </c>
    </row>
    <row r="34" ht="15.75" customHeight="1" s="77">
      <c r="A34" s="28" t="inlineStr">
        <is>
          <t>Test</t>
        </is>
      </c>
      <c r="B34" s="13" t="inlineStr">
        <is>
          <t>Test et corrections</t>
        </is>
      </c>
      <c r="C34" s="23" t="n">
        <v>5</v>
      </c>
    </row>
    <row r="35" ht="15.75" customHeight="1" s="77">
      <c r="A35" s="28" t="inlineStr">
        <is>
          <t>Livraison</t>
        </is>
      </c>
      <c r="B35" s="13" t="inlineStr">
        <is>
          <t>Déploiement</t>
        </is>
      </c>
      <c r="C35" s="14" t="n">
        <v>3</v>
      </c>
    </row>
    <row r="36" ht="15.75" customHeight="1" s="77">
      <c r="A36" s="162" t="n"/>
      <c r="B36" s="13" t="inlineStr">
        <is>
          <t>Formation utilisateur</t>
        </is>
      </c>
      <c r="C36" s="14" t="n">
        <v>1</v>
      </c>
    </row>
    <row r="37" ht="15.75" customHeight="1" s="77">
      <c r="A37" s="163" t="n"/>
      <c r="B37" s="19" t="inlineStr">
        <is>
          <t>Sous-total</t>
        </is>
      </c>
      <c r="C37" s="23">
        <f>SUM(C35:C36)</f>
        <v/>
      </c>
    </row>
    <row r="38" ht="15.75" customHeight="1" s="77">
      <c r="A38" s="28" t="inlineStr">
        <is>
          <t>Autres projets</t>
        </is>
      </c>
      <c r="B38" s="13" t="inlineStr">
        <is>
          <t>Corrections bugs application Tiwi</t>
        </is>
      </c>
      <c r="C38" s="14" t="n">
        <v>3</v>
      </c>
    </row>
    <row r="39" ht="15.75" customHeight="1" s="77">
      <c r="A39" s="162" t="n"/>
      <c r="B39" s="13" t="inlineStr">
        <is>
          <t>Assistance utilisateur (hard, soft)</t>
        </is>
      </c>
      <c r="C39" s="14" t="n">
        <v>2</v>
      </c>
    </row>
    <row r="40" ht="15.75" customHeight="1" s="77">
      <c r="A40" s="163" t="n"/>
      <c r="B40" s="19" t="inlineStr">
        <is>
          <t>Sous-total</t>
        </is>
      </c>
      <c r="C40" s="23">
        <f>SUM(C38:C39)</f>
        <v/>
      </c>
    </row>
    <row r="41" ht="15.75" customHeight="1" s="77">
      <c r="A41" s="30" t="n"/>
      <c r="B41" s="30" t="n"/>
      <c r="C41" s="31" t="n"/>
    </row>
    <row r="42" ht="15.75" customHeight="1" s="77">
      <c r="A42" s="30" t="n"/>
      <c r="B42" s="30" t="n"/>
      <c r="C42" s="31">
        <f>SUM(C6,C33,C34,C37,C40)</f>
        <v/>
      </c>
    </row>
    <row r="43" ht="15.75" customHeight="1" s="77"/>
    <row r="44" ht="15.75" customHeight="1" s="77"/>
    <row r="45" ht="15.75" customHeight="1" s="77"/>
    <row r="46" ht="15.75" customHeight="1" s="77"/>
    <row r="47" ht="15.75" customHeight="1" s="77"/>
    <row r="48" ht="15.75" customHeight="1" s="77"/>
    <row r="49" ht="15.75" customHeight="1" s="77"/>
    <row r="50" ht="15.75" customHeight="1" s="77"/>
    <row r="51" ht="15.75" customHeight="1" s="77"/>
    <row r="52" ht="15.75" customHeight="1" s="77"/>
    <row r="53" ht="15.75" customHeight="1" s="77"/>
    <row r="54" ht="15.75" customHeight="1" s="77"/>
    <row r="55" ht="15.75" customHeight="1" s="77"/>
    <row r="56" ht="15.75" customHeight="1" s="77"/>
    <row r="57" ht="15.75" customHeight="1" s="77"/>
    <row r="58" ht="15.75" customHeight="1" s="77"/>
    <row r="59" ht="15.75" customHeight="1" s="77"/>
    <row r="60" ht="15.75" customHeight="1" s="77"/>
    <row r="61" ht="15.75" customHeight="1" s="77"/>
    <row r="62" ht="15.75" customHeight="1" s="77"/>
    <row r="63" ht="15.75" customHeight="1" s="77"/>
    <row r="64" ht="15.75" customHeight="1" s="77"/>
    <row r="65" ht="15.75" customHeight="1" s="77"/>
    <row r="66" ht="15.75" customHeight="1" s="77"/>
    <row r="67" ht="15.75" customHeight="1" s="77"/>
    <row r="68" ht="15.75" customHeight="1" s="77"/>
    <row r="69" ht="15.75" customHeight="1" s="77"/>
    <row r="70" ht="15.75" customHeight="1" s="77"/>
    <row r="71" ht="15.75" customHeight="1" s="77"/>
    <row r="72" ht="15.75" customHeight="1" s="77"/>
    <row r="73" ht="15.75" customHeight="1" s="77"/>
    <row r="74" ht="15.75" customHeight="1" s="77"/>
    <row r="75" ht="15.75" customHeight="1" s="77"/>
    <row r="76" ht="15.75" customHeight="1" s="77"/>
    <row r="77" ht="15.75" customHeight="1" s="77"/>
    <row r="78" ht="15.75" customHeight="1" s="77"/>
    <row r="79" ht="15.75" customHeight="1" s="77"/>
    <row r="80" ht="15.75" customHeight="1" s="77"/>
    <row r="81" ht="15.75" customHeight="1" s="77"/>
    <row r="82" ht="15.75" customHeight="1" s="77"/>
    <row r="83" ht="15.75" customHeight="1" s="77"/>
    <row r="84" ht="15.75" customHeight="1" s="77"/>
    <row r="85" ht="15.75" customHeight="1" s="77"/>
    <row r="86" ht="15.75" customHeight="1" s="77"/>
    <row r="87" ht="15.75" customHeight="1" s="77"/>
    <row r="88" ht="15.75" customHeight="1" s="77"/>
    <row r="89" ht="15.75" customHeight="1" s="77"/>
    <row r="90" ht="15.75" customHeight="1" s="77"/>
    <row r="91" ht="15.75" customHeight="1" s="77"/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mergeCells count="4">
    <mergeCell ref="A7:A33"/>
    <mergeCell ref="A35:A37"/>
    <mergeCell ref="A2:A6"/>
    <mergeCell ref="A38:A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54"/>
  <sheetViews>
    <sheetView workbookViewId="0">
      <selection activeCell="A1" sqref="A1"/>
    </sheetView>
  </sheetViews>
  <sheetFormatPr baseColWidth="10" defaultColWidth="12.5703125" defaultRowHeight="15" customHeight="1"/>
  <cols>
    <col width="12.5703125" customWidth="1" style="77" min="1" max="3"/>
    <col width="42" customWidth="1" style="77" min="4" max="4"/>
    <col width="15.5703125" customWidth="1" style="77" min="5" max="5"/>
    <col width="12.5703125" customWidth="1" style="77" min="6" max="6"/>
  </cols>
  <sheetData>
    <row r="1" ht="15.75" customHeight="1" s="77">
      <c r="A1" s="21" t="n"/>
      <c r="B1" s="138" t="n"/>
      <c r="C1" s="139" t="n"/>
      <c r="D1" s="35" t="inlineStr">
        <is>
          <t>Tâches</t>
        </is>
      </c>
      <c r="E1" s="38" t="inlineStr">
        <is>
          <t>Estimation en jours</t>
        </is>
      </c>
    </row>
    <row r="2" ht="15.75" customHeight="1" s="77">
      <c r="A2" s="28" t="inlineStr">
        <is>
          <t>Préparation</t>
        </is>
      </c>
      <c r="B2" s="140" t="n"/>
      <c r="C2" s="141" t="n"/>
      <c r="D2" s="40" t="inlineStr">
        <is>
          <t>Prise en main du projet</t>
        </is>
      </c>
      <c r="E2" s="41" t="n">
        <v>1</v>
      </c>
    </row>
    <row r="3" ht="15.75" customHeight="1" s="77">
      <c r="A3" s="142" t="n"/>
      <c r="C3" s="143" t="n"/>
      <c r="D3" s="40" t="inlineStr">
        <is>
          <t>Apprentissage Nouvelles technologies</t>
        </is>
      </c>
      <c r="E3" s="41" t="n">
        <v>5</v>
      </c>
    </row>
    <row r="4" ht="15.75" customHeight="1" s="77">
      <c r="A4" s="142" t="n"/>
      <c r="C4" s="143" t="n"/>
      <c r="D4" s="40" t="inlineStr">
        <is>
          <t>installation des environnements</t>
        </is>
      </c>
      <c r="E4" s="41" t="n">
        <v>1</v>
      </c>
    </row>
    <row r="5" ht="15.75" customHeight="1" s="77">
      <c r="A5" s="144" t="n"/>
      <c r="B5" s="145" t="n"/>
      <c r="C5" s="146" t="n"/>
      <c r="D5" s="40" t="inlineStr">
        <is>
          <t>Analyse et conception</t>
        </is>
      </c>
      <c r="E5" s="41" t="n">
        <v>7</v>
      </c>
    </row>
    <row r="6" ht="15.75" customHeight="1" s="77">
      <c r="A6" s="164" t="inlineStr">
        <is>
          <t>Projet</t>
        </is>
      </c>
      <c r="B6" s="140" t="n"/>
      <c r="C6" s="141" t="n"/>
      <c r="D6" s="42" t="inlineStr">
        <is>
          <t>Création vues form et list des modèles de bases</t>
        </is>
      </c>
      <c r="E6" s="43" t="n"/>
    </row>
    <row r="7" ht="15.75" customHeight="1" s="77">
      <c r="A7" s="142" t="n"/>
      <c r="C7" s="143" t="n"/>
      <c r="D7" s="29" t="inlineStr">
        <is>
          <t>chambres, hotel, service, activité</t>
        </is>
      </c>
      <c r="E7" s="41" t="n">
        <v>1</v>
      </c>
    </row>
    <row r="8" ht="15.75" customHeight="1" s="77">
      <c r="A8" s="142" t="n"/>
      <c r="C8" s="143" t="n"/>
      <c r="D8" s="30" t="inlineStr">
        <is>
          <t>Type des chambres,  service, activité</t>
        </is>
      </c>
      <c r="E8" s="41" t="n">
        <v>1</v>
      </c>
    </row>
    <row r="9" ht="15.75" customHeight="1" s="77">
      <c r="A9" s="142" t="n"/>
      <c r="C9" s="143" t="n"/>
      <c r="D9" s="42" t="inlineStr">
        <is>
          <t>Gestion des Réservation</t>
        </is>
      </c>
      <c r="E9" s="43" t="n"/>
    </row>
    <row r="10" ht="15.75" customHeight="1" s="77">
      <c r="A10" s="142" t="n"/>
      <c r="C10" s="143" t="n"/>
      <c r="D10" s="29" t="inlineStr">
        <is>
          <t xml:space="preserve">Création des réservations clients </t>
        </is>
      </c>
      <c r="E10" s="41" t="n">
        <v>1</v>
      </c>
    </row>
    <row r="11" ht="15.75" customHeight="1" s="77">
      <c r="A11" s="142" t="n"/>
      <c r="C11" s="143" t="n"/>
      <c r="D11" s="29" t="inlineStr">
        <is>
          <t>Annulation et Confirmation des réservations</t>
        </is>
      </c>
      <c r="E11" s="41" t="n">
        <v>0.5</v>
      </c>
    </row>
    <row r="12" ht="15.75" customHeight="1" s="77">
      <c r="A12" s="142" t="n"/>
      <c r="C12" s="143" t="n"/>
      <c r="D12" s="29" t="inlineStr">
        <is>
          <t>Payement anticipé ou en avance du réservation</t>
        </is>
      </c>
      <c r="E12" s="41" t="n">
        <v>0.5</v>
      </c>
    </row>
    <row r="13" ht="15.75" customHeight="1" s="77">
      <c r="A13" s="142" t="n"/>
      <c r="C13" s="143" t="n"/>
      <c r="D13" s="42" t="inlineStr">
        <is>
          <t>Entretien ménagé</t>
        </is>
      </c>
      <c r="E13" s="43" t="n"/>
    </row>
    <row r="14" ht="15.75" customHeight="1" s="77">
      <c r="A14" s="142" t="n"/>
      <c r="C14" s="143" t="n"/>
      <c r="D14" s="46" t="inlineStr">
        <is>
          <t>Création des formulaires de gestion du ménage et planning du ménage</t>
        </is>
      </c>
      <c r="E14" s="41" t="n">
        <v>1</v>
      </c>
    </row>
    <row r="15" ht="15.75" customHeight="1" s="77">
      <c r="A15" s="142" t="n"/>
      <c r="C15" s="143" t="n"/>
      <c r="D15" s="46" t="inlineStr">
        <is>
          <t>Intégration avec la réservation pour les états des chambres (libre/occupée)</t>
        </is>
      </c>
      <c r="E15" s="41" t="n">
        <v>1</v>
      </c>
    </row>
    <row r="16" ht="15.75" customHeight="1" s="77">
      <c r="A16" s="142" t="n"/>
      <c r="C16" s="143" t="n"/>
      <c r="D16" s="42" t="inlineStr">
        <is>
          <t>Folio (compte client pendant son séjour)</t>
        </is>
      </c>
      <c r="E16" s="43" t="n"/>
    </row>
    <row r="17" ht="15.75" customHeight="1" s="77">
      <c r="A17" s="142" t="n"/>
      <c r="C17" s="143" t="n"/>
      <c r="D17" s="46" t="inlineStr">
        <is>
          <t>Intégration avec le module de réservation pour la génération automatique de folios</t>
        </is>
      </c>
      <c r="E17" s="41" t="n">
        <v>0.5</v>
      </c>
    </row>
    <row r="18" ht="15.75" customHeight="1" s="77">
      <c r="A18" s="142" t="n"/>
      <c r="C18" s="143" t="n"/>
      <c r="D18" s="46" t="inlineStr">
        <is>
          <t xml:space="preserve">Gestion des activités du client </t>
        </is>
      </c>
      <c r="E18" s="41" t="n">
        <v>0.5</v>
      </c>
    </row>
    <row r="19" ht="15.75" customHeight="1" s="77">
      <c r="A19" s="142" t="n"/>
      <c r="C19" s="143" t="n"/>
      <c r="D19" s="3" t="inlineStr">
        <is>
          <t>Gestion des services</t>
        </is>
      </c>
      <c r="E19" s="41" t="n">
        <v>0.5</v>
      </c>
    </row>
    <row r="20" ht="15.75" customHeight="1" s="77">
      <c r="A20" s="142" t="n"/>
      <c r="C20" s="143" t="n"/>
      <c r="D20" s="29" t="inlineStr">
        <is>
          <t>Facturation et Payment du Folio</t>
        </is>
      </c>
      <c r="E20" s="41" t="n">
        <v>1</v>
      </c>
    </row>
    <row r="21" ht="15.75" customHeight="1" s="77">
      <c r="A21" s="142" t="n"/>
      <c r="C21" s="143" t="n"/>
      <c r="D21" s="42" t="inlineStr">
        <is>
          <t>Gestion de liste des prix</t>
        </is>
      </c>
      <c r="E21" s="43" t="n"/>
    </row>
    <row r="22" ht="15.75" customHeight="1" s="77">
      <c r="A22" s="142" t="n"/>
      <c r="C22" s="143" t="n"/>
      <c r="D22" s="29" t="inlineStr">
        <is>
          <t>Ajouter une liste des prix pour la réservation</t>
        </is>
      </c>
      <c r="E22" s="41" t="n">
        <v>1</v>
      </c>
    </row>
    <row r="23" ht="15.75" customHeight="1" s="77">
      <c r="A23" s="142" t="n"/>
      <c r="C23" s="143" t="n"/>
      <c r="D23" s="42" t="inlineStr">
        <is>
          <t>Gestion de transport</t>
        </is>
      </c>
      <c r="E23" s="43" t="n"/>
    </row>
    <row r="24" ht="15.75" customHeight="1" s="77">
      <c r="A24" s="142" t="n"/>
      <c r="C24" s="143" t="n"/>
      <c r="D24" s="46" t="inlineStr">
        <is>
          <t>Gérer les transferts des clients vers l'hotel</t>
        </is>
      </c>
      <c r="E24" s="41" t="n">
        <v>2</v>
      </c>
    </row>
    <row r="25" ht="15.75" customHeight="1" s="77">
      <c r="A25" s="142" t="n"/>
      <c r="C25" s="143" t="n"/>
      <c r="D25" s="46" t="inlineStr">
        <is>
          <t>Planning de transport</t>
        </is>
      </c>
      <c r="E25" s="41" t="n">
        <v>2</v>
      </c>
    </row>
    <row r="26" ht="15.75" customHeight="1" s="77">
      <c r="A26" s="142" t="n"/>
      <c r="C26" s="143" t="n"/>
      <c r="D26" s="42" t="inlineStr">
        <is>
          <t>OTA</t>
        </is>
      </c>
      <c r="E26" s="43" t="n"/>
    </row>
    <row r="27" ht="15.75" customHeight="1" s="77">
      <c r="A27" s="142" t="n"/>
      <c r="C27" s="143" t="n"/>
      <c r="D27" s="46" t="inlineStr">
        <is>
          <t>Intégration avec les plateformes de réservation en ligne : Booking</t>
        </is>
      </c>
      <c r="E27" s="41" t="n">
        <v>7</v>
      </c>
    </row>
    <row r="28" ht="15.75" customHeight="1" s="77">
      <c r="A28" s="142" t="n"/>
      <c r="C28" s="143" t="n"/>
      <c r="D28" s="21" t="n"/>
      <c r="E28" s="43" t="n"/>
    </row>
    <row r="29" ht="15.75" customHeight="1" s="77">
      <c r="A29" s="142" t="n"/>
      <c r="C29" s="143" t="n"/>
      <c r="D29" s="42" t="inlineStr">
        <is>
          <t>POS (Point de vente)</t>
        </is>
      </c>
      <c r="E29" s="43" t="n"/>
    </row>
    <row r="30" ht="15.75" customHeight="1" s="77">
      <c r="A30" s="142" t="n"/>
      <c r="C30" s="143" t="n"/>
      <c r="D30" s="46" t="inlineStr">
        <is>
          <t>Mise en place du POS pour la liaison au folio du client</t>
        </is>
      </c>
      <c r="E30" s="41" t="n">
        <v>1</v>
      </c>
    </row>
    <row r="31" ht="15.75" customHeight="1" s="77">
      <c r="A31" s="142" t="n"/>
      <c r="C31" s="143" t="n"/>
      <c r="D31" s="3" t="n"/>
      <c r="E31" s="43" t="n"/>
    </row>
    <row r="32" ht="15.75" customHeight="1" s="77">
      <c r="A32" s="142" t="n"/>
      <c r="C32" s="143" t="n"/>
      <c r="D32" s="49" t="inlineStr">
        <is>
          <t>Dashboard view</t>
        </is>
      </c>
      <c r="E32" s="43" t="n"/>
    </row>
    <row r="33" ht="15.75" customHeight="1" s="77">
      <c r="A33" s="142" t="n"/>
      <c r="C33" s="143" t="n"/>
      <c r="D33" s="46" t="inlineStr">
        <is>
          <t>Création d'un tableau de bord pour visualiser l'activité de l'hôtel</t>
        </is>
      </c>
      <c r="E33" s="41" t="n">
        <v>2</v>
      </c>
    </row>
    <row r="34" ht="15.75" customHeight="1" s="77">
      <c r="A34" s="142" t="n"/>
      <c r="C34" s="143" t="n"/>
      <c r="D34" s="50" t="inlineStr">
        <is>
          <t>Affichage de l'état des chambres (disponibiliité) en temps réels sur dashboard</t>
        </is>
      </c>
      <c r="E34" s="41" t="n">
        <v>2</v>
      </c>
    </row>
    <row r="35" ht="15.75" customHeight="1" s="77">
      <c r="A35" s="142" t="n"/>
      <c r="C35" s="143" t="n"/>
      <c r="D35" s="50" t="inlineStr">
        <is>
          <t xml:space="preserve">Possibilité de d'accéder aux fonctionnalités (comme réservration, housekeeping, ...) depuis le dashboard </t>
        </is>
      </c>
      <c r="E35" s="41" t="n">
        <v>2</v>
      </c>
    </row>
    <row r="36" ht="15.75" customHeight="1" s="77">
      <c r="A36" s="142" t="n"/>
      <c r="C36" s="143" t="n"/>
      <c r="D36" s="49" t="inlineStr">
        <is>
          <t>Statistique</t>
        </is>
      </c>
      <c r="E36" s="43" t="n"/>
    </row>
    <row r="37" ht="15.75" customHeight="1" s="77">
      <c r="A37" s="142" t="n"/>
      <c r="C37" s="143" t="n"/>
      <c r="D37" s="46" t="inlineStr">
        <is>
          <t>Diagramme des revenus par mois par ans</t>
        </is>
      </c>
      <c r="E37" s="41" t="n">
        <v>1</v>
      </c>
    </row>
    <row r="38" ht="15.75" customHeight="1" s="77">
      <c r="A38" s="142" t="n"/>
      <c r="C38" s="143" t="n"/>
      <c r="D38" s="3" t="inlineStr">
        <is>
          <t>Taux de réservation par type de chambre et diagramme</t>
        </is>
      </c>
      <c r="E38" s="41" t="n">
        <v>1</v>
      </c>
    </row>
    <row r="39" ht="15.75" customHeight="1" s="77">
      <c r="A39" s="142" t="n"/>
      <c r="C39" s="143" t="n"/>
      <c r="D39" s="3" t="inlineStr">
        <is>
          <t>Durée moyenne de séjour et diagramme</t>
        </is>
      </c>
      <c r="E39" s="41" t="n">
        <v>0.5</v>
      </c>
    </row>
    <row r="40" ht="15.75" customHeight="1" s="77">
      <c r="A40" s="142" t="n"/>
      <c r="C40" s="143" t="n"/>
      <c r="D40" s="3" t="inlineStr">
        <is>
          <t>Taux d'occupation, Taux d'annulation et diagramme</t>
        </is>
      </c>
      <c r="E40" s="41" t="n">
        <v>0.75</v>
      </c>
    </row>
    <row r="41" ht="15.75" customHeight="1" s="77">
      <c r="A41" s="142" t="n"/>
      <c r="C41" s="143" t="n"/>
      <c r="D41" s="49" t="inlineStr">
        <is>
          <t>Site Web pour l'application</t>
        </is>
      </c>
      <c r="E41" s="43" t="n"/>
    </row>
    <row r="42" ht="15.75" customHeight="1" s="77">
      <c r="A42" s="142" t="n"/>
      <c r="C42" s="143" t="n"/>
      <c r="D42" s="50" t="inlineStr">
        <is>
          <t>Possibilité de faire une réservation</t>
        </is>
      </c>
      <c r="E42" s="41" t="n">
        <v>2</v>
      </c>
    </row>
    <row r="43" ht="15.75" customHeight="1" s="77">
      <c r="A43" s="142" t="n"/>
      <c r="C43" s="143" t="n"/>
      <c r="D43" s="50" t="inlineStr">
        <is>
          <t>Consulter les comptes clients en temps réels</t>
        </is>
      </c>
      <c r="E43" s="41" t="n">
        <v>2</v>
      </c>
    </row>
    <row r="44" ht="15.75" customHeight="1" s="77">
      <c r="A44" s="142" t="n"/>
      <c r="C44" s="143" t="n"/>
      <c r="D44" s="50" t="inlineStr">
        <is>
          <t>Demande de confirmation du Folio</t>
        </is>
      </c>
      <c r="E44" s="41" t="n">
        <v>1</v>
      </c>
    </row>
    <row r="45" ht="15.75" customHeight="1" s="77">
      <c r="A45" s="142" t="n"/>
      <c r="C45" s="143" t="n"/>
      <c r="D45" s="21" t="n"/>
      <c r="E45" s="43" t="n"/>
    </row>
    <row r="46" ht="15.75" customHeight="1" s="77">
      <c r="A46" s="142" t="n"/>
      <c r="C46" s="143" t="n"/>
      <c r="D46" s="49" t="inlineStr">
        <is>
          <t>Prévision hotelière (Prévision d'occupation des mois à venir)</t>
        </is>
      </c>
      <c r="E46" s="43" t="n"/>
    </row>
    <row r="47" ht="15.75" customHeight="1" s="77">
      <c r="A47" s="142" t="n"/>
      <c r="C47" s="143" t="n"/>
      <c r="D47" s="50" t="inlineStr">
        <is>
          <t>Mis en place des variables de predictions</t>
        </is>
      </c>
      <c r="E47" s="41" t="n">
        <v>1</v>
      </c>
    </row>
    <row r="48" ht="15.75" customHeight="1" s="77">
      <c r="A48" s="142" t="n"/>
      <c r="C48" s="143" t="n"/>
      <c r="D48" s="50" t="inlineStr">
        <is>
          <t xml:space="preserve">Creation de modeles </t>
        </is>
      </c>
      <c r="E48" s="41" t="n">
        <v>7</v>
      </c>
    </row>
    <row r="49" ht="15.75" customHeight="1" s="77">
      <c r="A49" s="142" t="n"/>
      <c r="C49" s="143" t="n"/>
      <c r="D49" s="21" t="n"/>
      <c r="E49" s="52" t="n"/>
    </row>
    <row r="50" ht="15.75" customHeight="1" s="77">
      <c r="A50" s="144" t="n"/>
      <c r="B50" s="145" t="n"/>
      <c r="C50" s="146" t="n"/>
      <c r="D50" s="53" t="inlineStr">
        <is>
          <t>SUBTOTAL du projet</t>
        </is>
      </c>
      <c r="E50" s="54">
        <f>SUM(E7:E49)</f>
        <v/>
      </c>
    </row>
    <row r="51" ht="15.75" customHeight="1" s="77">
      <c r="A51" s="28" t="inlineStr">
        <is>
          <t>Tests</t>
        </is>
      </c>
      <c r="B51" s="138" t="n"/>
      <c r="C51" s="139" t="n"/>
      <c r="D51" s="29" t="inlineStr">
        <is>
          <t>Tests et corrections</t>
        </is>
      </c>
      <c r="E51" s="56" t="n">
        <v>5</v>
      </c>
    </row>
    <row r="52" ht="15.75" customHeight="1" s="77">
      <c r="A52" s="28" t="inlineStr">
        <is>
          <t>Déploiement</t>
        </is>
      </c>
      <c r="B52" s="138" t="n"/>
      <c r="C52" s="139" t="n"/>
      <c r="D52" s="29" t="inlineStr">
        <is>
          <t>Déploiement local et cloud</t>
        </is>
      </c>
      <c r="E52" s="56" t="n">
        <v>2</v>
      </c>
    </row>
    <row r="53" ht="15.75" customHeight="1" s="77">
      <c r="A53" s="28" t="inlineStr">
        <is>
          <t>Assistance</t>
        </is>
      </c>
      <c r="B53" s="138" t="n"/>
      <c r="C53" s="139" t="n"/>
      <c r="D53" s="29" t="inlineStr">
        <is>
          <t>Formation utilisateur</t>
        </is>
      </c>
      <c r="E53" s="56" t="n">
        <v>2</v>
      </c>
    </row>
    <row r="54" ht="15.75" customHeight="1" s="77">
      <c r="A54" s="3" t="n"/>
      <c r="B54" s="3" t="n"/>
      <c r="C54" s="3" t="n"/>
      <c r="D54" s="59" t="inlineStr">
        <is>
          <t>TOTAL</t>
        </is>
      </c>
      <c r="E54" s="61">
        <f>E50+SUM(E51:E53)+SUM(E2:E5)</f>
        <v/>
      </c>
    </row>
    <row r="55" ht="15.75" customHeight="1" s="77"/>
    <row r="56" ht="15.75" customHeight="1" s="77"/>
    <row r="57" ht="15.75" customHeight="1" s="77"/>
    <row r="58" ht="15.75" customHeight="1" s="77"/>
    <row r="59" ht="15.75" customHeight="1" s="77"/>
    <row r="60" ht="15.75" customHeight="1" s="77"/>
    <row r="61" ht="15.75" customHeight="1" s="77"/>
    <row r="62" ht="15.75" customHeight="1" s="77"/>
    <row r="63" ht="15.75" customHeight="1" s="77"/>
    <row r="64" ht="15.75" customHeight="1" s="77"/>
    <row r="65" ht="15.75" customHeight="1" s="77"/>
    <row r="66" ht="15.75" customHeight="1" s="77"/>
    <row r="67" ht="15.75" customHeight="1" s="77"/>
    <row r="68" ht="15.75" customHeight="1" s="77"/>
    <row r="69" ht="15.75" customHeight="1" s="77"/>
    <row r="70" ht="15.75" customHeight="1" s="77"/>
    <row r="71" ht="15.75" customHeight="1" s="77"/>
    <row r="72" ht="15.75" customHeight="1" s="77"/>
    <row r="73" ht="15.75" customHeight="1" s="77"/>
    <row r="74" ht="15.75" customHeight="1" s="77"/>
    <row r="75" ht="15.75" customHeight="1" s="77"/>
    <row r="76" ht="15.75" customHeight="1" s="77"/>
    <row r="77" ht="15.75" customHeight="1" s="77"/>
    <row r="78" ht="15.75" customHeight="1" s="77"/>
    <row r="79" ht="15.75" customHeight="1" s="77"/>
    <row r="80" ht="15.75" customHeight="1" s="77"/>
    <row r="81" ht="15.75" customHeight="1" s="77"/>
    <row r="82" ht="15.75" customHeight="1" s="77"/>
    <row r="83" ht="15.75" customHeight="1" s="77"/>
    <row r="84" ht="15.75" customHeight="1" s="77"/>
    <row r="85" ht="15.75" customHeight="1" s="77"/>
    <row r="86" ht="15.75" customHeight="1" s="77"/>
    <row r="87" ht="15.75" customHeight="1" s="77"/>
    <row r="88" ht="15.75" customHeight="1" s="77"/>
    <row r="89" ht="15.75" customHeight="1" s="77"/>
    <row r="90" ht="15.75" customHeight="1" s="77"/>
    <row r="91" ht="15.75" customHeight="1" s="77"/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mergeCells count="6">
    <mergeCell ref="A6:C50"/>
    <mergeCell ref="A1:C1"/>
    <mergeCell ref="A53:C53"/>
    <mergeCell ref="A2:C5"/>
    <mergeCell ref="A51:C51"/>
    <mergeCell ref="A52:C5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C54"/>
  <sheetViews>
    <sheetView workbookViewId="0">
      <selection activeCell="A1" sqref="A1"/>
    </sheetView>
  </sheetViews>
  <sheetFormatPr baseColWidth="10" defaultColWidth="12.5703125" defaultRowHeight="15" customHeight="1"/>
  <cols>
    <col width="9.140625" customWidth="1" style="77" min="1" max="1"/>
    <col width="89.7109375" customWidth="1" style="77" min="2" max="2"/>
    <col width="8.7109375" customWidth="1" style="77" min="3" max="3"/>
    <col width="12.5703125" customWidth="1" style="77" min="4" max="6"/>
  </cols>
  <sheetData>
    <row r="1" ht="15.75" customHeight="1" s="77">
      <c r="A1" s="3" t="n"/>
      <c r="B1" s="34" t="inlineStr">
        <is>
          <t>Tâches</t>
        </is>
      </c>
      <c r="C1" s="34" t="inlineStr">
        <is>
          <t>Estimation</t>
        </is>
      </c>
    </row>
    <row r="2" ht="15.75" customHeight="1" s="77">
      <c r="A2" s="36" t="n"/>
      <c r="B2" s="3" t="inlineStr">
        <is>
          <t>Analyse et Conception de projet</t>
        </is>
      </c>
      <c r="C2" s="37" t="n">
        <v>2</v>
      </c>
    </row>
    <row r="3" ht="15.75" customHeight="1" s="77">
      <c r="A3" s="36" t="n"/>
      <c r="B3" s="3" t="inlineStr">
        <is>
          <t xml:space="preserve">apprentissage nouveau technologie </t>
        </is>
      </c>
      <c r="C3" s="37" t="n">
        <v>2</v>
      </c>
    </row>
    <row r="4" ht="15.75" customHeight="1" s="77">
      <c r="A4" s="26" t="inlineStr">
        <is>
          <t xml:space="preserve">SPRINT I </t>
        </is>
      </c>
      <c r="B4" s="39" t="inlineStr">
        <is>
          <t>Installation des environnements</t>
        </is>
      </c>
      <c r="C4" s="37" t="n">
        <v>2</v>
      </c>
    </row>
    <row r="5" ht="15.75" customHeight="1" s="77">
      <c r="A5" s="36" t="n"/>
      <c r="B5" s="3" t="inlineStr">
        <is>
          <t xml:space="preserve">Création de Base de données </t>
        </is>
      </c>
      <c r="C5" s="37" t="n">
        <v>1</v>
      </c>
    </row>
    <row r="6" ht="15.75" customHeight="1" s="77">
      <c r="A6" s="36" t="n"/>
      <c r="B6" s="3" t="inlineStr">
        <is>
          <t>Apprentissage de Websocket</t>
        </is>
      </c>
      <c r="C6" s="37" t="n">
        <v>2</v>
      </c>
    </row>
    <row r="7" ht="15.75" customHeight="1" s="77">
      <c r="A7" s="36" t="n"/>
      <c r="B7" s="3" t="n"/>
      <c r="C7" s="3" t="n"/>
    </row>
    <row r="8" ht="15.75" customHeight="1" s="77">
      <c r="A8" s="36" t="n"/>
      <c r="B8" s="3" t="inlineStr">
        <is>
          <t>SOUS TOTAL</t>
        </is>
      </c>
      <c r="C8" s="37">
        <f>SUM(C2,C3,C6,C7,C5,C4)</f>
        <v/>
      </c>
    </row>
    <row r="9" ht="15.75" customHeight="1" s="77">
      <c r="A9" s="3" t="n"/>
      <c r="B9" s="3" t="n"/>
      <c r="C9" s="3" t="n"/>
    </row>
    <row r="10" ht="15.75" customHeight="1" s="77">
      <c r="A10" s="36" t="n"/>
      <c r="B10" s="3" t="inlineStr">
        <is>
          <t>Créations d'agent(code python et websocket) capable de collecter les informations de Ressources physique du Système</t>
        </is>
      </c>
      <c r="C10" s="37" t="n">
        <v>1</v>
      </c>
    </row>
    <row r="11" ht="15.75" customHeight="1" s="77">
      <c r="A11" s="36" t="n"/>
      <c r="B11" s="3" t="inlineStr">
        <is>
          <t>Créations d'agent(code python et websocket) capable de collecter les informations de Network Système</t>
        </is>
      </c>
      <c r="C11" s="37" t="n">
        <v>1</v>
      </c>
    </row>
    <row r="12" ht="15.75" customHeight="1" s="77">
      <c r="A12" s="36" t="n"/>
      <c r="B12" s="3" t="inlineStr">
        <is>
          <t>Création d'agent(code python et websocket) capable de collecter les informations des commandes taper sur le système</t>
        </is>
      </c>
      <c r="C12" s="37" t="n">
        <v>1</v>
      </c>
    </row>
    <row r="13" ht="15.75" customHeight="1" s="77">
      <c r="A13" s="26" t="inlineStr">
        <is>
          <t xml:space="preserve">SPRINT II </t>
        </is>
      </c>
      <c r="B13" s="3" t="inlineStr">
        <is>
          <t xml:space="preserve">Création de script sh linux pour automatiser les services des agents creer </t>
        </is>
      </c>
      <c r="C13" s="37" t="n">
        <v>1</v>
      </c>
    </row>
    <row r="14" ht="15.75" customHeight="1" s="77">
      <c r="A14" s="36" t="n"/>
      <c r="B14" s="3" t="n"/>
      <c r="C14" s="3" t="n"/>
    </row>
    <row r="15" ht="15.75" customHeight="1" s="77">
      <c r="A15" s="36" t="n"/>
      <c r="B15" s="3" t="n"/>
      <c r="C15" s="3" t="n"/>
    </row>
    <row r="16" ht="15.75" customHeight="1" s="77">
      <c r="A16" s="36" t="n"/>
      <c r="B16" s="3" t="inlineStr">
        <is>
          <t>SOUS TOTAL</t>
        </is>
      </c>
      <c r="C16" s="37">
        <f>SUM(C10,C11,C12,C13,C14,C15)</f>
        <v/>
      </c>
    </row>
    <row r="17" ht="15.75" customHeight="1" s="77">
      <c r="A17" s="3" t="n"/>
      <c r="B17" s="44" t="inlineStr">
        <is>
          <t>PARTIE ADMINISTRATEUR(Front-end et Backend avec Intégration API)</t>
        </is>
      </c>
      <c r="C17" s="3" t="n"/>
    </row>
    <row r="18" ht="15.75" customHeight="1" s="77">
      <c r="A18" s="36" t="n"/>
      <c r="B18" s="3" t="inlineStr">
        <is>
          <t>Création de Login et gestion de token admin</t>
        </is>
      </c>
      <c r="C18" s="37" t="n">
        <v>1</v>
      </c>
    </row>
    <row r="19" ht="15.75" customHeight="1" s="77">
      <c r="A19" s="36" t="n"/>
      <c r="B19" s="3" t="inlineStr">
        <is>
          <t>Gestion de Serveur et Générations des cles specifiques pour chaque serveur pour la communication Websockets</t>
        </is>
      </c>
      <c r="C19" s="37" t="n">
        <v>4</v>
      </c>
    </row>
    <row r="20" ht="15.75" customHeight="1" s="77">
      <c r="A20" s="36" t="n"/>
      <c r="B20" s="3" t="inlineStr">
        <is>
          <t xml:space="preserve">Gestion de compte Superviseur </t>
        </is>
      </c>
      <c r="C20" s="37" t="n">
        <v>2</v>
      </c>
    </row>
    <row r="21" ht="15.75" customHeight="1" s="77">
      <c r="A21" s="26" t="inlineStr">
        <is>
          <t>SPRINT III</t>
        </is>
      </c>
      <c r="B21" s="3" t="inlineStr">
        <is>
          <t>Gestion d'Affectation des serveurs  a plusieurs Superviseurs</t>
        </is>
      </c>
      <c r="C21" s="37" t="n">
        <v>5</v>
      </c>
    </row>
    <row r="22" ht="15.75" customHeight="1" s="77">
      <c r="A22" s="36" t="n"/>
      <c r="B22" s="3" t="n"/>
      <c r="C22" s="3" t="n"/>
    </row>
    <row r="23" ht="15.75" customHeight="1" s="77">
      <c r="A23" s="36" t="n"/>
      <c r="B23" s="3" t="n"/>
      <c r="C23" s="3" t="n"/>
    </row>
    <row r="24" ht="15.75" customHeight="1" s="77">
      <c r="A24" s="36" t="n"/>
      <c r="B24" s="3" t="n"/>
      <c r="C24" s="3" t="n"/>
    </row>
    <row r="25" ht="15.75" customHeight="1" s="77">
      <c r="A25" s="36" t="n"/>
      <c r="B25" s="3" t="inlineStr">
        <is>
          <t>SOUS TOTAL</t>
        </is>
      </c>
      <c r="C25" s="37">
        <f>SUM(C18,C19,C20,C21,C22,C23,C24)</f>
        <v/>
      </c>
    </row>
    <row r="26" ht="15.75" customHeight="1" s="77">
      <c r="A26" s="3" t="n"/>
      <c r="B26" s="44" t="inlineStr">
        <is>
          <t>PARTIE SUPERVISEUR(Front-end et Backend avec Intégration API)</t>
        </is>
      </c>
      <c r="C26" s="3" t="n"/>
    </row>
    <row r="27" ht="15.75" customHeight="1" s="77">
      <c r="A27" s="36" t="n"/>
      <c r="B27" s="3" t="inlineStr">
        <is>
          <t>Création de Login et gestion de token superviseur</t>
        </is>
      </c>
      <c r="C27" s="37" t="n">
        <v>1</v>
      </c>
    </row>
    <row r="28" ht="15.75" customHeight="1" s="77">
      <c r="A28" s="26" t="inlineStr">
        <is>
          <t>SPRINT IV</t>
        </is>
      </c>
      <c r="B28" s="3" t="inlineStr">
        <is>
          <t>Visualisation en temps réels des consommations de Ressources Systeme de chaque Serveur cible par l'agent</t>
        </is>
      </c>
      <c r="C28" s="37" t="n">
        <v>6</v>
      </c>
    </row>
    <row r="29" ht="15.75" customHeight="1" s="77">
      <c r="A29" s="36" t="n"/>
      <c r="B29" s="3" t="inlineStr">
        <is>
          <t>Visualisation en  temps réels des consommations de Reseau de chaque serveur cible par l'agent</t>
        </is>
      </c>
      <c r="C29" s="37" t="n">
        <v>4</v>
      </c>
    </row>
    <row r="30" ht="15.75" customHeight="1" s="77">
      <c r="A30" s="36" t="n"/>
      <c r="B30" s="3" t="inlineStr">
        <is>
          <t>Consultations des historiques de commandes taper par l'utilisateur pour chaque serveur cible</t>
        </is>
      </c>
      <c r="C30" s="37" t="n">
        <v>4</v>
      </c>
    </row>
    <row r="31" ht="15.75" customHeight="1" s="77">
      <c r="A31" s="3" t="n"/>
      <c r="B31" s="3" t="inlineStr">
        <is>
          <t>Création des view nécessaires</t>
        </is>
      </c>
      <c r="C31" s="37" t="n">
        <v>1</v>
      </c>
    </row>
    <row r="32" ht="15.75" customHeight="1" s="77">
      <c r="A32" s="39" t="n"/>
      <c r="B32" s="39" t="inlineStr">
        <is>
          <t>SOUS TOTAL</t>
        </is>
      </c>
      <c r="C32" s="37">
        <f>SUM(C33,C34,,C31,C29,C30,C28,C27)</f>
        <v/>
      </c>
    </row>
    <row r="33" ht="15.75" customHeight="1" s="77">
      <c r="A33" s="3" t="n"/>
      <c r="B33" s="3" t="n"/>
      <c r="C33" s="3" t="n"/>
    </row>
    <row r="34" ht="15.75" customHeight="1" s="77">
      <c r="A34" s="3" t="n"/>
      <c r="B34" s="3" t="n"/>
      <c r="C34" s="3" t="n"/>
    </row>
    <row r="35" ht="15.75" customHeight="1" s="77">
      <c r="A35" s="3" t="n"/>
      <c r="B35" s="3" t="n"/>
      <c r="C35" s="3" t="n"/>
    </row>
    <row r="36" ht="15.75" customHeight="1" s="77">
      <c r="A36" s="3" t="n"/>
      <c r="B36" s="44" t="inlineStr">
        <is>
          <t>PARTIE ADMINISTRATEUR ET PARTIE SUPERVISEUR(front-end et Backend avec Intégration API)</t>
        </is>
      </c>
      <c r="C36" s="3" t="n"/>
    </row>
    <row r="37" ht="15.75" customHeight="1" s="77">
      <c r="A37" s="36" t="n"/>
      <c r="B37" s="3" t="inlineStr">
        <is>
          <t>Automatisation d'intégration de clés serveur dans chaque agent et lien de téléchargement d'agent(administrateur)</t>
        </is>
      </c>
      <c r="C37" s="37" t="n">
        <v>3</v>
      </c>
    </row>
    <row r="38" ht="15.75" customHeight="1" s="77">
      <c r="A38" s="36" t="n"/>
      <c r="B38" s="3" t="inlineStr">
        <is>
          <t>Mise en place de configuration de seuil pour chaque serveur (seuil de ressource)</t>
        </is>
      </c>
      <c r="C38" s="37" t="n">
        <v>2</v>
      </c>
    </row>
    <row r="39" ht="15.75" customHeight="1" s="77">
      <c r="A39" s="26" t="inlineStr">
        <is>
          <t xml:space="preserve">SPRINT V </t>
        </is>
      </c>
      <c r="B39" s="3" t="inlineStr">
        <is>
          <t>Mise en place de Représentation graphique de load average cpu et ram en temps réels pour chaque Serveur</t>
        </is>
      </c>
      <c r="C39" s="37" t="n">
        <v>4</v>
      </c>
    </row>
    <row r="40" ht="15.75" customHeight="1" s="77">
      <c r="A40" s="36" t="n"/>
      <c r="B40" s="3" t="inlineStr">
        <is>
          <t>Mise en place de Représentation graphique de consommations de Réseau pour chaque Serveur</t>
        </is>
      </c>
      <c r="C40" s="37" t="n">
        <v>4</v>
      </c>
    </row>
    <row r="41" ht="15.75" customHeight="1" s="77">
      <c r="A41" s="36" t="n"/>
      <c r="B41" s="3" t="inlineStr">
        <is>
          <t xml:space="preserve">Créations des views nécessaires </t>
        </is>
      </c>
      <c r="C41" s="37" t="n">
        <v>1</v>
      </c>
    </row>
    <row r="42" ht="15.75" customHeight="1" s="77">
      <c r="A42" s="36" t="n"/>
      <c r="B42" s="3" t="n"/>
      <c r="C42" s="3" t="n"/>
    </row>
    <row r="43" ht="15.75" customHeight="1" s="77">
      <c r="A43" s="36" t="n"/>
      <c r="B43" s="3" t="n"/>
      <c r="C43" s="3" t="n"/>
    </row>
    <row r="44" ht="15.75" customHeight="1" s="77">
      <c r="A44" s="36" t="n"/>
      <c r="B44" s="3" t="n"/>
      <c r="C44" s="3" t="n"/>
    </row>
    <row r="45" ht="15.75" customHeight="1" s="77">
      <c r="A45" s="36" t="n"/>
      <c r="B45" s="3" t="inlineStr">
        <is>
          <t>SOUS TOTAL</t>
        </is>
      </c>
      <c r="C45" s="37">
        <f>SUM(C37,C38,C39,C41,C42,C43,C44,C40)</f>
        <v/>
      </c>
    </row>
    <row r="46" ht="15.75" customHeight="1" s="77">
      <c r="A46" s="39" t="n"/>
      <c r="B46" s="44" t="inlineStr">
        <is>
          <t>PARTIE SUPERVISEUR ET ADMINISTRATEUR(Front-end et backend avec API)</t>
        </is>
      </c>
      <c r="C46" s="3" t="n"/>
    </row>
    <row r="47" ht="15.75" customHeight="1" s="77">
      <c r="A47" s="36" t="n"/>
      <c r="B47" s="3" t="inlineStr">
        <is>
          <t>Alerte en temps réels en cas de dépassement de seuil poser par l'administrateur(Superviseur)</t>
        </is>
      </c>
      <c r="C47" s="37" t="n">
        <v>4</v>
      </c>
    </row>
    <row r="48" ht="15.75" customHeight="1" s="77">
      <c r="A48" s="26" t="inlineStr">
        <is>
          <t>SPRINT VI</t>
        </is>
      </c>
      <c r="B48" s="3" t="inlineStr">
        <is>
          <t>Notifications en temps réels pour voir tous les alertes en cas de dépassement de seuil(Superviseur)</t>
        </is>
      </c>
      <c r="C48" s="37" t="n">
        <v>4</v>
      </c>
    </row>
    <row r="49" ht="15.75" customHeight="1" s="77">
      <c r="A49" s="36" t="n"/>
      <c r="B49" s="3" t="inlineStr">
        <is>
          <t>Optimisation de Backend pour la performance websocket</t>
        </is>
      </c>
      <c r="C49" s="37" t="n">
        <v>1</v>
      </c>
    </row>
    <row r="50" ht="15.75" customHeight="1" s="77">
      <c r="A50" s="36" t="n"/>
      <c r="B50" s="3" t="inlineStr">
        <is>
          <t>Optimisation Front-end pour le soin de design</t>
        </is>
      </c>
      <c r="C50" s="37" t="n">
        <v>1</v>
      </c>
    </row>
    <row r="51" ht="15.75" customHeight="1" s="77">
      <c r="A51" s="36" t="n"/>
      <c r="B51" s="3" t="inlineStr">
        <is>
          <t>Fonctionnalité de Filtre pour tous les pages</t>
        </is>
      </c>
      <c r="C51" s="37" t="n">
        <v>1</v>
      </c>
    </row>
    <row r="52" ht="15.75" customHeight="1" s="77">
      <c r="A52" s="36" t="n"/>
      <c r="B52" s="3" t="inlineStr">
        <is>
          <t>SOUS TOTAL</t>
        </is>
      </c>
      <c r="C52" s="37">
        <f>SUM(C48,C47,C49,C51,C50)</f>
        <v/>
      </c>
    </row>
    <row r="53" ht="15.75" customHeight="1" s="77">
      <c r="A53" s="39" t="n"/>
      <c r="B53" s="3" t="n"/>
      <c r="C53" s="3" t="n"/>
    </row>
    <row r="54" ht="15.75" customHeight="1" s="77">
      <c r="A54" s="39" t="n"/>
      <c r="B54" s="3" t="inlineStr">
        <is>
          <t>SOMME TOTAL</t>
        </is>
      </c>
      <c r="C54" s="37">
        <f>SUM(C52,C45,C32,C25,C16,C8)</f>
        <v/>
      </c>
    </row>
    <row r="55" ht="15.75" customHeight="1" s="77"/>
    <row r="56" ht="15.75" customHeight="1" s="77"/>
    <row r="57" ht="15.75" customHeight="1" s="77"/>
    <row r="58" ht="15.75" customHeight="1" s="77"/>
    <row r="59" ht="15.75" customHeight="1" s="77"/>
    <row r="60" ht="15.75" customHeight="1" s="77"/>
    <row r="61" ht="15.75" customHeight="1" s="77"/>
    <row r="62" ht="15.75" customHeight="1" s="77"/>
    <row r="63" ht="15.75" customHeight="1" s="77"/>
    <row r="64" ht="15.75" customHeight="1" s="77"/>
    <row r="65" ht="15.75" customHeight="1" s="77"/>
    <row r="66" ht="15.75" customHeight="1" s="77"/>
    <row r="67" ht="15.75" customHeight="1" s="77"/>
    <row r="68" ht="15.75" customHeight="1" s="77"/>
    <row r="69" ht="15.75" customHeight="1" s="77"/>
    <row r="70" ht="15.75" customHeight="1" s="77"/>
    <row r="71" ht="15.75" customHeight="1" s="77"/>
    <row r="72" ht="15.75" customHeight="1" s="77"/>
    <row r="73" ht="15.75" customHeight="1" s="77"/>
    <row r="74" ht="15.75" customHeight="1" s="77"/>
    <row r="75" ht="15.75" customHeight="1" s="77"/>
    <row r="76" ht="15.75" customHeight="1" s="77"/>
    <row r="77" ht="15.75" customHeight="1" s="77"/>
    <row r="78" ht="15.75" customHeight="1" s="77"/>
    <row r="79" ht="15.75" customHeight="1" s="77"/>
    <row r="80" ht="15.75" customHeight="1" s="77"/>
    <row r="81" ht="15.75" customHeight="1" s="77"/>
    <row r="82" ht="15.75" customHeight="1" s="77"/>
    <row r="83" ht="15.75" customHeight="1" s="77"/>
    <row r="84" ht="15.75" customHeight="1" s="77"/>
    <row r="85" ht="15.75" customHeight="1" s="77"/>
    <row r="86" ht="15.75" customHeight="1" s="77"/>
    <row r="87" ht="15.75" customHeight="1" s="77"/>
    <row r="88" ht="15.75" customHeight="1" s="77"/>
    <row r="89" ht="15.75" customHeight="1" s="77"/>
    <row r="90" ht="15.75" customHeight="1" s="77"/>
    <row r="91" ht="15.75" customHeight="1" s="77"/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G86"/>
  <sheetViews>
    <sheetView workbookViewId="0">
      <selection activeCell="A1" sqref="A1"/>
    </sheetView>
  </sheetViews>
  <sheetFormatPr baseColWidth="10" defaultColWidth="12.5703125" defaultRowHeight="15" customHeight="1"/>
  <cols>
    <col width="12.5703125" customWidth="1" style="77" min="1" max="3"/>
    <col width="54.42578125" customWidth="1" style="77" min="4" max="4"/>
    <col width="12.5703125" customWidth="1" style="77" min="5" max="6"/>
  </cols>
  <sheetData>
    <row r="1" ht="15.75" customHeight="1" s="77">
      <c r="A1" s="3" t="n"/>
      <c r="B1" s="3" t="n"/>
      <c r="C1" s="3" t="n"/>
      <c r="D1" s="3" t="n"/>
      <c r="E1" s="3" t="n"/>
      <c r="F1" s="45" t="inlineStr">
        <is>
          <t>Licence</t>
        </is>
      </c>
      <c r="G1" s="45" t="inlineStr">
        <is>
          <t>Licence</t>
        </is>
      </c>
    </row>
    <row r="2" ht="15.75" customHeight="1" s="77">
      <c r="A2" s="137" t="inlineStr">
        <is>
          <t>Estimation en jours</t>
        </is>
      </c>
      <c r="C2" s="3" t="n"/>
      <c r="D2" s="3" t="n"/>
      <c r="E2" s="3" t="n"/>
      <c r="F2" s="45" t="inlineStr">
        <is>
          <t>ETU001999</t>
        </is>
      </c>
      <c r="G2" s="45" t="inlineStr">
        <is>
          <t>ETU002000</t>
        </is>
      </c>
    </row>
    <row r="3" ht="15.75" customHeight="1" s="77">
      <c r="A3" s="21" t="n"/>
      <c r="B3" s="138" t="n"/>
      <c r="C3" s="139" t="n"/>
      <c r="D3" s="6" t="inlineStr">
        <is>
          <t>Tâches</t>
        </is>
      </c>
      <c r="E3" s="6" t="inlineStr">
        <is>
          <t>Estimation en jours</t>
        </is>
      </c>
      <c r="F3" s="47" t="inlineStr">
        <is>
          <t>John</t>
        </is>
      </c>
      <c r="G3" s="47" t="inlineStr">
        <is>
          <t>Jane</t>
        </is>
      </c>
    </row>
    <row r="4" ht="15.75" customHeight="1" s="77">
      <c r="A4" s="21" t="n"/>
      <c r="B4" s="140" t="n"/>
      <c r="C4" s="141" t="n"/>
      <c r="D4" s="13" t="inlineStr">
        <is>
          <t>installation des environnements serveurs</t>
        </is>
      </c>
      <c r="E4" s="12">
        <f>F4+G4</f>
        <v/>
      </c>
      <c r="F4" s="48" t="n">
        <v>1</v>
      </c>
      <c r="G4" s="48" t="n">
        <v>2</v>
      </c>
    </row>
    <row r="5" ht="15.75" customHeight="1" s="77">
      <c r="A5" s="142" t="n"/>
      <c r="C5" s="143" t="n"/>
      <c r="D5" s="13" t="inlineStr">
        <is>
          <t>Analyse, conception</t>
        </is>
      </c>
      <c r="E5" s="12">
        <f>F5+G5</f>
        <v/>
      </c>
      <c r="F5" s="48" t="n">
        <v>4</v>
      </c>
      <c r="G5" s="48" t="n">
        <v>5</v>
      </c>
    </row>
    <row r="6" ht="15.75" customHeight="1" s="77">
      <c r="A6" s="144" t="n"/>
      <c r="B6" s="145" t="n"/>
      <c r="C6" s="146" t="n"/>
      <c r="D6" s="19" t="inlineStr">
        <is>
          <t>Sous Total</t>
        </is>
      </c>
      <c r="E6" s="12">
        <f>SUM(E4:E5)</f>
        <v/>
      </c>
      <c r="F6" s="51">
        <f>SUM(F4:F5)</f>
        <v/>
      </c>
      <c r="G6" s="51">
        <f>SUM(G4:G5)</f>
        <v/>
      </c>
    </row>
    <row r="7" ht="15.75" customHeight="1" s="77">
      <c r="A7" s="21" t="n"/>
      <c r="B7" s="140" t="n"/>
      <c r="C7" s="141" t="n"/>
      <c r="D7" s="165" t="inlineStr">
        <is>
          <t>Gestion d'utilisateur</t>
        </is>
      </c>
      <c r="E7" s="138" t="n"/>
      <c r="F7" s="138" t="n"/>
      <c r="G7" s="139" t="n"/>
    </row>
    <row r="8" ht="15.75" customHeight="1" s="77">
      <c r="A8" s="142" t="n"/>
      <c r="C8" s="143" t="n"/>
      <c r="D8" s="13" t="inlineStr">
        <is>
          <t>Connexion profil</t>
        </is>
      </c>
      <c r="E8" s="12">
        <f>F8+G8</f>
        <v/>
      </c>
      <c r="F8" s="48" t="n">
        <v>3</v>
      </c>
      <c r="G8" s="21" t="n"/>
    </row>
    <row r="9" ht="15.75" customHeight="1" s="77">
      <c r="A9" s="142" t="n"/>
      <c r="C9" s="143" t="n"/>
      <c r="D9" s="13" t="inlineStr">
        <is>
          <t>Gestion permission</t>
        </is>
      </c>
      <c r="E9" s="12">
        <f>F9+G9</f>
        <v/>
      </c>
      <c r="F9" s="48" t="n">
        <v>2</v>
      </c>
      <c r="G9" s="21" t="n"/>
    </row>
    <row r="10" ht="15.75" customHeight="1" s="77">
      <c r="A10" s="142" t="n"/>
      <c r="C10" s="143" t="n"/>
      <c r="D10" s="19" t="inlineStr">
        <is>
          <t>Sous Total</t>
        </is>
      </c>
      <c r="E10" s="12">
        <f>SUM(E8:E9)</f>
        <v/>
      </c>
      <c r="F10" s="12">
        <f>SUM(F8:F9)</f>
        <v/>
      </c>
      <c r="G10" s="12">
        <f>SUM(G8:G9)</f>
        <v/>
      </c>
    </row>
    <row r="11" ht="15.75" customHeight="1" s="77">
      <c r="A11" s="142" t="n"/>
      <c r="C11" s="143" t="n"/>
      <c r="D11" s="165" t="inlineStr">
        <is>
          <t>Import données</t>
        </is>
      </c>
      <c r="E11" s="138" t="n"/>
      <c r="F11" s="138" t="n"/>
      <c r="G11" s="139" t="n"/>
    </row>
    <row r="12" ht="15.75" customHeight="1" s="77">
      <c r="A12" s="142" t="n"/>
      <c r="C12" s="143" t="n"/>
      <c r="D12" s="9" t="inlineStr">
        <is>
          <t>Employé</t>
        </is>
      </c>
      <c r="E12" s="55">
        <f>F12+G12</f>
        <v/>
      </c>
      <c r="F12" s="57" t="n"/>
      <c r="G12" s="57" t="n">
        <v>2</v>
      </c>
    </row>
    <row r="13" ht="15.75" customHeight="1" s="77">
      <c r="A13" s="142" t="n"/>
      <c r="C13" s="143" t="n"/>
      <c r="D13" s="9" t="inlineStr">
        <is>
          <t>Type de raphia</t>
        </is>
      </c>
      <c r="E13" s="55">
        <f>F13+G13</f>
        <v/>
      </c>
      <c r="F13" s="58" t="n"/>
      <c r="G13" s="58" t="n">
        <v>1</v>
      </c>
    </row>
    <row r="14" ht="15.75" customHeight="1" s="77">
      <c r="A14" s="142" t="n"/>
      <c r="C14" s="143" t="n"/>
      <c r="D14" s="9" t="inlineStr">
        <is>
          <t>Localisation/Producteur/Parcelle</t>
        </is>
      </c>
      <c r="E14" s="55">
        <f>F14+G14</f>
        <v/>
      </c>
      <c r="F14" s="58" t="n"/>
      <c r="G14" s="58" t="n">
        <v>1</v>
      </c>
    </row>
    <row r="15" ht="15.75" customHeight="1" s="77">
      <c r="A15" s="142" t="n"/>
      <c r="C15" s="143" t="n"/>
      <c r="D15" s="9" t="inlineStr">
        <is>
          <t>Type de travail</t>
        </is>
      </c>
      <c r="E15" s="55">
        <f>F15+G15</f>
        <v/>
      </c>
      <c r="F15" s="57" t="n"/>
      <c r="G15" s="57" t="n">
        <v>1</v>
      </c>
    </row>
    <row r="16" ht="15.75" customHeight="1" s="77">
      <c r="A16" s="142" t="n"/>
      <c r="C16" s="143" t="n"/>
      <c r="D16" s="60" t="inlineStr">
        <is>
          <t>Sous Total</t>
        </is>
      </c>
      <c r="E16" s="55">
        <f>SUM(E11:E15)</f>
        <v/>
      </c>
      <c r="F16" s="55">
        <f>SUM(F11:F15)</f>
        <v/>
      </c>
      <c r="G16" s="55">
        <f>SUM(G11:G15)</f>
        <v/>
      </c>
    </row>
    <row r="17" ht="15.75" customHeight="1" s="77">
      <c r="A17" s="142" t="n"/>
      <c r="C17" s="143" t="n"/>
      <c r="D17" s="165" t="inlineStr">
        <is>
          <t>Preparation magasin Raphia</t>
        </is>
      </c>
      <c r="E17" s="138" t="n"/>
      <c r="F17" s="138" t="n"/>
      <c r="G17" s="139" t="n"/>
    </row>
    <row r="18" ht="15.75" customHeight="1" s="77">
      <c r="A18" s="142" t="n"/>
      <c r="C18" s="143" t="n"/>
      <c r="D18" s="62" t="inlineStr">
        <is>
          <t>scan badge</t>
        </is>
      </c>
      <c r="E18" s="55">
        <f>F18+G18</f>
        <v/>
      </c>
      <c r="F18" s="58" t="n"/>
      <c r="G18" s="57" t="n">
        <v>2</v>
      </c>
    </row>
    <row r="19" ht="15.75" customHeight="1" s="77">
      <c r="A19" s="142" t="n"/>
      <c r="C19" s="143" t="n"/>
      <c r="D19" s="62" t="inlineStr">
        <is>
          <t xml:space="preserve">Interface avec validation </t>
        </is>
      </c>
      <c r="E19" s="55">
        <f>F19+G19</f>
        <v/>
      </c>
      <c r="F19" s="58" t="n"/>
      <c r="G19" s="57" t="n">
        <v>2</v>
      </c>
    </row>
    <row r="20" ht="15.75" customHeight="1" s="77">
      <c r="A20" s="142" t="n"/>
      <c r="C20" s="143" t="n"/>
      <c r="D20" s="62" t="inlineStr">
        <is>
          <t>Bouton annulation</t>
        </is>
      </c>
      <c r="E20" s="55">
        <f>F20+G20</f>
        <v/>
      </c>
      <c r="F20" s="57" t="n"/>
      <c r="G20" s="58" t="n">
        <v>1</v>
      </c>
    </row>
    <row r="21" ht="15.75" customHeight="1" s="77">
      <c r="A21" s="142" t="n"/>
      <c r="C21" s="143" t="n"/>
      <c r="D21" s="62" t="inlineStr">
        <is>
          <t>Date et heure automatique au moment de la validation</t>
        </is>
      </c>
      <c r="E21" s="55">
        <f>F21+G21</f>
        <v/>
      </c>
      <c r="F21" s="57" t="n"/>
      <c r="G21" s="58" t="n">
        <v>1</v>
      </c>
    </row>
    <row r="22" ht="15.75" customHeight="1" s="77">
      <c r="A22" s="142" t="n"/>
      <c r="C22" s="143" t="n"/>
      <c r="D22" s="62" t="inlineStr">
        <is>
          <t>Metier</t>
        </is>
      </c>
      <c r="E22" s="55">
        <f>F22+G22</f>
        <v/>
      </c>
      <c r="F22" s="58" t="n"/>
      <c r="G22" s="57" t="n">
        <v>2</v>
      </c>
    </row>
    <row r="23" ht="15.75" customHeight="1" s="77">
      <c r="A23" s="142" t="n"/>
      <c r="C23" s="143" t="n"/>
      <c r="D23" s="62" t="inlineStr">
        <is>
          <t>Integration poids</t>
        </is>
      </c>
      <c r="E23" s="55">
        <f>F23+G23</f>
        <v/>
      </c>
      <c r="F23" s="58" t="n"/>
      <c r="G23" s="57" t="n">
        <v>1</v>
      </c>
    </row>
    <row r="24" ht="15.75" customHeight="1" s="77">
      <c r="A24" s="142" t="n"/>
      <c r="C24" s="143" t="n"/>
      <c r="D24" s="62" t="inlineStr">
        <is>
          <t>Generer code barre numéro unique</t>
        </is>
      </c>
      <c r="E24" s="55">
        <f>F24+G24</f>
        <v/>
      </c>
      <c r="F24" s="58" t="n"/>
      <c r="G24" s="57" t="n">
        <v>2</v>
      </c>
    </row>
    <row r="25" ht="15.75" customHeight="1" s="77">
      <c r="A25" s="142" t="n"/>
      <c r="C25" s="143" t="n"/>
      <c r="D25" s="57" t="inlineStr">
        <is>
          <t>Historique (recherche filtré)</t>
        </is>
      </c>
      <c r="E25" s="55">
        <f>F25+G25</f>
        <v/>
      </c>
      <c r="F25" s="58" t="n"/>
      <c r="G25" s="57" t="n">
        <v>2</v>
      </c>
    </row>
    <row r="26" ht="15.75" customHeight="1" s="77">
      <c r="A26" s="142" t="n"/>
      <c r="C26" s="143" t="n"/>
      <c r="D26" s="60" t="inlineStr">
        <is>
          <t>Sous Total</t>
        </is>
      </c>
      <c r="E26" s="55">
        <f>SUM(E18:E25)</f>
        <v/>
      </c>
      <c r="F26" s="55">
        <f>SUM(F18:F25)</f>
        <v/>
      </c>
      <c r="G26" s="55">
        <f>SUM(G19:G25)</f>
        <v/>
      </c>
    </row>
    <row r="27" ht="15.75" customHeight="1" s="77">
      <c r="A27" s="142" t="n"/>
      <c r="C27" s="143" t="n"/>
      <c r="D27" s="165" t="inlineStr">
        <is>
          <t>Distribution vers crocheteurs</t>
        </is>
      </c>
      <c r="E27" s="138" t="n"/>
      <c r="F27" s="138" t="n"/>
      <c r="G27" s="139" t="n"/>
    </row>
    <row r="28" ht="15.75" customHeight="1" s="77">
      <c r="A28" s="142" t="n"/>
      <c r="C28" s="143" t="n"/>
      <c r="D28" s="62" t="inlineStr">
        <is>
          <t>Scan barcode numéro unique</t>
        </is>
      </c>
      <c r="E28" s="55">
        <f>F28+G28</f>
        <v/>
      </c>
      <c r="F28" s="57" t="n"/>
      <c r="G28" s="58" t="n">
        <v>2</v>
      </c>
    </row>
    <row r="29" ht="15.75" customHeight="1" s="77">
      <c r="A29" s="142" t="n"/>
      <c r="C29" s="143" t="n"/>
      <c r="D29" s="63" t="inlineStr">
        <is>
          <t>Intégration plusieurs numéros uniques</t>
        </is>
      </c>
      <c r="E29" s="55">
        <f>F29+G29</f>
        <v/>
      </c>
      <c r="F29" s="57" t="n"/>
      <c r="G29" s="58" t="n">
        <v>2</v>
      </c>
    </row>
    <row r="30" ht="15.75" customHeight="1" s="77">
      <c r="A30" s="142" t="n"/>
      <c r="C30" s="143" t="n"/>
      <c r="D30" s="62" t="inlineStr">
        <is>
          <t>Date et heure automatique au moment de la validation</t>
        </is>
      </c>
      <c r="E30" s="55">
        <f>F30+G30</f>
        <v/>
      </c>
      <c r="F30" s="57" t="n"/>
      <c r="G30" s="58" t="n">
        <v>1</v>
      </c>
    </row>
    <row r="31" ht="15.75" customHeight="1" s="77">
      <c r="A31" s="142" t="n"/>
      <c r="C31" s="143" t="n"/>
      <c r="D31" s="62" t="inlineStr">
        <is>
          <t>Scan type de travail</t>
        </is>
      </c>
      <c r="E31" s="55">
        <f>F31+G31</f>
        <v/>
      </c>
      <c r="F31" s="57" t="n"/>
      <c r="G31" s="58" t="n">
        <v>2</v>
      </c>
    </row>
    <row r="32" ht="15.75" customHeight="1" s="77">
      <c r="A32" s="142" t="n"/>
      <c r="C32" s="143" t="n"/>
      <c r="D32" s="62" t="inlineStr">
        <is>
          <t>Scan ticket SEAM (code barre)</t>
        </is>
      </c>
      <c r="E32" s="55">
        <f>F32+G32</f>
        <v/>
      </c>
      <c r="F32" s="57" t="n"/>
      <c r="G32" s="58" t="n">
        <v>1</v>
      </c>
    </row>
    <row r="33" ht="15.75" customHeight="1" s="77">
      <c r="A33" s="142" t="n"/>
      <c r="C33" s="143" t="n"/>
      <c r="D33" s="62" t="inlineStr">
        <is>
          <t>Rajout numéro unique même si la première distribution a été déjà faite</t>
        </is>
      </c>
      <c r="E33" s="55">
        <f>F33+G33</f>
        <v/>
      </c>
      <c r="F33" s="57" t="n"/>
      <c r="G33" s="58" t="n">
        <v>1</v>
      </c>
    </row>
    <row r="34" ht="15.75" customHeight="1" s="77">
      <c r="A34" s="142" t="n"/>
      <c r="C34" s="143" t="n"/>
      <c r="D34" s="57" t="inlineStr">
        <is>
          <t>scan badge crocheteur</t>
        </is>
      </c>
      <c r="E34" s="55">
        <f>F34+G34</f>
        <v/>
      </c>
      <c r="F34" s="57" t="n"/>
      <c r="G34" s="58" t="n">
        <v>2</v>
      </c>
    </row>
    <row r="35" ht="15.75" customHeight="1" s="77">
      <c r="A35" s="142" t="n"/>
      <c r="C35" s="143" t="n"/>
      <c r="D35" s="62" t="inlineStr">
        <is>
          <t>Bouton annulation</t>
        </is>
      </c>
      <c r="E35" s="55">
        <f>F35+G35</f>
        <v/>
      </c>
      <c r="F35" s="57" t="n"/>
      <c r="G35" s="58" t="n">
        <v>1</v>
      </c>
    </row>
    <row r="36" ht="15.75" customHeight="1" s="77">
      <c r="A36" s="142" t="n"/>
      <c r="C36" s="143" t="n"/>
      <c r="D36" s="62" t="inlineStr">
        <is>
          <t>Interface avec validation (controle de valeur)</t>
        </is>
      </c>
      <c r="E36" s="55">
        <f>F36+G36</f>
        <v/>
      </c>
      <c r="F36" s="57" t="n"/>
      <c r="G36" s="58" t="n">
        <v>2</v>
      </c>
    </row>
    <row r="37" ht="15.75" customHeight="1" s="77">
      <c r="A37" s="142" t="n"/>
      <c r="C37" s="143" t="n"/>
      <c r="D37" s="62" t="inlineStr">
        <is>
          <t>Metier</t>
        </is>
      </c>
      <c r="E37" s="55">
        <f>F37+G37</f>
        <v/>
      </c>
      <c r="F37" s="57" t="n"/>
      <c r="G37" s="58" t="n">
        <v>2</v>
      </c>
    </row>
    <row r="38" ht="15.75" customHeight="1" s="77">
      <c r="A38" s="142" t="n"/>
      <c r="C38" s="143" t="n"/>
      <c r="D38" s="62" t="inlineStr">
        <is>
          <t>Historique (recherche filtré)</t>
        </is>
      </c>
      <c r="E38" s="55">
        <f>F38+G38</f>
        <v/>
      </c>
      <c r="F38" s="57" t="n"/>
      <c r="G38" s="58" t="n">
        <v>2</v>
      </c>
    </row>
    <row r="39" ht="15.75" customHeight="1" s="77">
      <c r="A39" s="142" t="n"/>
      <c r="C39" s="143" t="n"/>
      <c r="D39" s="62" t="inlineStr">
        <is>
          <t>Integration</t>
        </is>
      </c>
      <c r="E39" s="55">
        <f>F39+G39</f>
        <v/>
      </c>
      <c r="F39" s="57" t="n"/>
      <c r="G39" s="58" t="n">
        <v>2</v>
      </c>
    </row>
    <row r="40" ht="15.75" customHeight="1" s="77">
      <c r="A40" s="142" t="n"/>
      <c r="C40" s="143" t="n"/>
      <c r="D40" s="19" t="inlineStr">
        <is>
          <t>Sous Total</t>
        </is>
      </c>
      <c r="E40" s="12">
        <f>SUM(E28:E39)</f>
        <v/>
      </c>
      <c r="F40" s="12">
        <f>SUM(F34:F39)</f>
        <v/>
      </c>
      <c r="G40" s="12">
        <f>SUM(G28:G39)</f>
        <v/>
      </c>
    </row>
    <row r="41" ht="15.75" customHeight="1" s="77">
      <c r="A41" s="142" t="n"/>
      <c r="C41" s="143" t="n"/>
      <c r="D41" s="165" t="inlineStr">
        <is>
          <t>Controle bout de table</t>
        </is>
      </c>
      <c r="E41" s="138" t="n"/>
      <c r="F41" s="138" t="n"/>
      <c r="G41" s="139" t="n"/>
    </row>
    <row r="42" ht="15.75" customHeight="1" s="77">
      <c r="A42" s="142" t="n"/>
      <c r="C42" s="143" t="n"/>
      <c r="D42" s="64" t="inlineStr">
        <is>
          <t>Scan ticket SEAM (code barre)</t>
        </is>
      </c>
      <c r="E42" s="55">
        <f>F42+G42</f>
        <v/>
      </c>
      <c r="F42" s="58" t="n">
        <v>1</v>
      </c>
      <c r="G42" s="57" t="n"/>
    </row>
    <row r="43" ht="15.75" customHeight="1" s="77">
      <c r="A43" s="142" t="n"/>
      <c r="C43" s="143" t="n"/>
      <c r="D43" s="62" t="inlineStr">
        <is>
          <t>Date et heure automatique au moment de la validation</t>
        </is>
      </c>
      <c r="E43" s="55">
        <f>F43+G43</f>
        <v/>
      </c>
      <c r="F43" s="57" t="n">
        <v>1</v>
      </c>
      <c r="G43" s="58" t="n"/>
    </row>
    <row r="44" ht="15.75" customHeight="1" s="77">
      <c r="A44" s="142" t="n"/>
      <c r="C44" s="143" t="n"/>
      <c r="D44" s="64" t="inlineStr">
        <is>
          <t xml:space="preserve">Interface avec validation </t>
        </is>
      </c>
      <c r="E44" s="55">
        <f>F44+G44</f>
        <v/>
      </c>
      <c r="F44" s="58" t="n">
        <v>2</v>
      </c>
      <c r="G44" s="57" t="n"/>
    </row>
    <row r="45" ht="15.75" customHeight="1" s="77">
      <c r="A45" s="142" t="n"/>
      <c r="C45" s="143" t="n"/>
      <c r="D45" s="62" t="inlineStr">
        <is>
          <t>Bouton annulation</t>
        </is>
      </c>
      <c r="E45" s="55">
        <f>F45+G45</f>
        <v/>
      </c>
      <c r="F45" s="57" t="n">
        <v>1</v>
      </c>
      <c r="G45" s="58" t="n"/>
    </row>
    <row r="46" ht="15.75" customHeight="1" s="77">
      <c r="A46" s="142" t="n"/>
      <c r="C46" s="143" t="n"/>
      <c r="D46" s="64" t="inlineStr">
        <is>
          <t>Bouton spécifiant pièce irrécupérable et stockage dans le système</t>
        </is>
      </c>
      <c r="E46" s="55">
        <f>F46+G46</f>
        <v/>
      </c>
      <c r="F46" s="58" t="n">
        <v>2</v>
      </c>
      <c r="G46" s="57" t="n"/>
    </row>
    <row r="47" ht="15.75" customHeight="1" s="77">
      <c r="A47" s="142" t="n"/>
      <c r="C47" s="143" t="n"/>
      <c r="D47" s="65" t="inlineStr">
        <is>
          <t>Bouton spécifiant qu'un n° unique est irrécupérable et sera rejeté dans les en-cours
Nécessité de nouvelle distribution après</t>
        </is>
      </c>
      <c r="E47" s="55">
        <f>F47+G47</f>
        <v/>
      </c>
      <c r="F47" s="58" t="n">
        <v>2</v>
      </c>
      <c r="G47" s="57" t="n"/>
    </row>
    <row r="48" ht="15.75" customHeight="1" s="77">
      <c r="A48" s="142" t="n"/>
      <c r="C48" s="143" t="n"/>
      <c r="D48" s="64" t="inlineStr">
        <is>
          <t>Metier</t>
        </is>
      </c>
      <c r="E48" s="55">
        <f>F48+G48</f>
        <v/>
      </c>
      <c r="F48" s="58" t="n">
        <v>2</v>
      </c>
      <c r="G48" s="57" t="n"/>
    </row>
    <row r="49" ht="15.75" customHeight="1" s="77">
      <c r="A49" s="142" t="n"/>
      <c r="C49" s="143" t="n"/>
      <c r="D49" s="64" t="inlineStr">
        <is>
          <t>Integration</t>
        </is>
      </c>
      <c r="E49" s="55">
        <f>F49+G49</f>
        <v/>
      </c>
      <c r="F49" s="58" t="n">
        <v>1</v>
      </c>
      <c r="G49" s="57" t="n"/>
    </row>
    <row r="50" ht="15.75" customHeight="1" s="77">
      <c r="A50" s="142" t="n"/>
      <c r="C50" s="143" t="n"/>
      <c r="D50" s="66" t="inlineStr">
        <is>
          <t>Generer QrCode pour avoir les donnees du produits : 
- tous les n°unique
- toutes les provenances
- qui a fait le crochetage</t>
        </is>
      </c>
      <c r="E50" s="55">
        <f>F50+G50</f>
        <v/>
      </c>
      <c r="F50" s="58" t="n">
        <v>4</v>
      </c>
      <c r="G50" s="57" t="n"/>
    </row>
    <row r="51" ht="15.75" customHeight="1" s="77">
      <c r="A51" s="142" t="n"/>
      <c r="C51" s="143" t="n"/>
      <c r="D51" s="64" t="inlineStr">
        <is>
          <t>Impression QrCode</t>
        </is>
      </c>
      <c r="E51" s="55">
        <f>F51+G51</f>
        <v/>
      </c>
      <c r="F51" s="58" t="n">
        <v>1</v>
      </c>
      <c r="G51" s="57" t="n"/>
    </row>
    <row r="52" ht="15.75" customHeight="1" s="77">
      <c r="A52" s="142" t="n"/>
      <c r="C52" s="143" t="n"/>
      <c r="D52" s="64" t="inlineStr">
        <is>
          <t>Possibilité impression QrCode ultérieurement</t>
        </is>
      </c>
      <c r="E52" s="55">
        <f>F52+G52</f>
        <v/>
      </c>
      <c r="F52" s="58" t="n">
        <v>1</v>
      </c>
      <c r="G52" s="57" t="n"/>
    </row>
    <row r="53" ht="15.75" customHeight="1" s="77">
      <c r="A53" s="142" t="n"/>
      <c r="C53" s="143" t="n"/>
      <c r="D53" s="60" t="inlineStr">
        <is>
          <t>Sous Total</t>
        </is>
      </c>
      <c r="E53" s="55">
        <f>SUM(E42:E52)</f>
        <v/>
      </c>
      <c r="F53" s="55">
        <f>SUM(F42:F52)</f>
        <v/>
      </c>
      <c r="G53" s="55">
        <f>SUM(G42:G50)</f>
        <v/>
      </c>
    </row>
    <row r="54" ht="15.75" customHeight="1" s="77">
      <c r="A54" s="142" t="n"/>
      <c r="C54" s="143" t="n"/>
      <c r="D54" s="165" t="inlineStr">
        <is>
          <t>Système de cache et optimisation</t>
        </is>
      </c>
      <c r="E54" s="138" t="n"/>
      <c r="F54" s="138" t="n"/>
      <c r="G54" s="139" t="n"/>
    </row>
    <row r="55" ht="15.75" customHeight="1" s="77">
      <c r="A55" s="142" t="n"/>
      <c r="C55" s="143" t="n"/>
      <c r="D55" s="13" t="inlineStr">
        <is>
          <t>Cache au niveau des postes clients</t>
        </is>
      </c>
      <c r="E55" s="12">
        <f>F55+G55</f>
        <v/>
      </c>
      <c r="F55" s="48" t="n">
        <v>3</v>
      </c>
      <c r="G55" s="21" t="n"/>
    </row>
    <row r="56" ht="15.75" customHeight="1" s="77">
      <c r="A56" s="142" t="n"/>
      <c r="C56" s="143" t="n"/>
      <c r="D56" s="13" t="inlineStr">
        <is>
          <t>Cache sur le serveur local</t>
        </is>
      </c>
      <c r="E56" s="12">
        <f>F56+G56</f>
        <v/>
      </c>
      <c r="F56" s="48" t="n">
        <v>3</v>
      </c>
      <c r="G56" s="21" t="n"/>
    </row>
    <row r="57" ht="15.75" customHeight="1" s="77">
      <c r="A57" s="142" t="n"/>
      <c r="C57" s="143" t="n"/>
      <c r="D57" s="13" t="inlineStr">
        <is>
          <t>Reprise apres coupure et indempotence des données</t>
        </is>
      </c>
      <c r="E57" s="12">
        <f>F57+G57</f>
        <v/>
      </c>
      <c r="F57" s="48" t="n">
        <v>3</v>
      </c>
      <c r="G57" s="21" t="n"/>
    </row>
    <row r="58" ht="15.75" customHeight="1" s="77">
      <c r="A58" s="142" t="n"/>
      <c r="C58" s="143" t="n"/>
      <c r="D58" s="13" t="inlineStr">
        <is>
          <t>Compression et optimisation des données</t>
        </is>
      </c>
      <c r="E58" s="12">
        <f>F58+G58</f>
        <v/>
      </c>
      <c r="F58" s="48" t="n">
        <v>2</v>
      </c>
      <c r="G58" s="21" t="n"/>
    </row>
    <row r="59" ht="15.75" customHeight="1" s="77">
      <c r="A59" s="142" t="n"/>
      <c r="C59" s="143" t="n"/>
      <c r="D59" s="19" t="inlineStr">
        <is>
          <t>Sous Total</t>
        </is>
      </c>
      <c r="E59" s="12">
        <f>SUM(E55:E58)</f>
        <v/>
      </c>
      <c r="F59" s="12">
        <f>SUM(F55:F58)</f>
        <v/>
      </c>
      <c r="G59" s="12">
        <f>SUM(G55:G58)</f>
        <v/>
      </c>
    </row>
    <row r="60" ht="15.75" customHeight="1" s="77">
      <c r="A60" s="142" t="n"/>
      <c r="C60" s="143" t="n"/>
      <c r="D60" s="165" t="inlineStr">
        <is>
          <t>Etats d'analyse et statistiques (admin)</t>
        </is>
      </c>
      <c r="E60" s="138" t="n"/>
      <c r="F60" s="138" t="n"/>
      <c r="G60" s="139" t="n"/>
    </row>
    <row r="61" ht="15.75" customHeight="1" s="77">
      <c r="A61" s="142" t="n"/>
      <c r="C61" s="143" t="n"/>
      <c r="D61" s="67" t="inlineStr">
        <is>
          <t>Quantité de raphia préparée par période (jour, semaine, mois).</t>
        </is>
      </c>
      <c r="E61" s="55">
        <f>F61+G61</f>
        <v/>
      </c>
      <c r="F61" s="57" t="n"/>
      <c r="G61" s="58" t="n">
        <v>1</v>
      </c>
    </row>
    <row r="62" ht="15.75" customHeight="1" s="77">
      <c r="A62" s="142" t="n"/>
      <c r="C62" s="143" t="n"/>
      <c r="D62" s="57" t="inlineStr">
        <is>
          <t>Poids moyen préparé par trieur par période</t>
        </is>
      </c>
      <c r="E62" s="55">
        <f>F62+G62</f>
        <v/>
      </c>
      <c r="F62" s="57" t="n"/>
      <c r="G62" s="58" t="n">
        <v>1</v>
      </c>
    </row>
    <row r="63" ht="15.75" customHeight="1" s="77">
      <c r="A63" s="142" t="n"/>
      <c r="C63" s="143" t="n"/>
      <c r="D63" s="67" t="inlineStr">
        <is>
          <t>Distribution de la production par localisation/producteur/parcelle.</t>
        </is>
      </c>
      <c r="E63" s="55">
        <f>F63+G63</f>
        <v/>
      </c>
      <c r="F63" s="57" t="n"/>
      <c r="G63" s="58" t="n">
        <v>1</v>
      </c>
    </row>
    <row r="64" ht="15.75" customHeight="1" s="77">
      <c r="A64" s="142" t="n"/>
      <c r="C64" s="143" t="n"/>
      <c r="D64" s="57" t="inlineStr">
        <is>
          <t>Identifier le type de raphia le plus utilisé.</t>
        </is>
      </c>
      <c r="E64" s="55">
        <f>F64+G64</f>
        <v/>
      </c>
      <c r="F64" s="57" t="n"/>
      <c r="G64" s="58" t="n">
        <v>1</v>
      </c>
    </row>
    <row r="65" ht="15.75" customHeight="1" s="77">
      <c r="A65" s="142" t="n"/>
      <c r="C65" s="143" t="n"/>
      <c r="D65" s="57" t="inlineStr">
        <is>
          <t>Poids total distribué par période.</t>
        </is>
      </c>
      <c r="E65" s="55">
        <f>F65+G65</f>
        <v/>
      </c>
      <c r="F65" s="57" t="n"/>
      <c r="G65" s="58" t="n">
        <v>1</v>
      </c>
    </row>
    <row r="66" ht="15.75" customHeight="1" s="77">
      <c r="A66" s="142" t="n"/>
      <c r="C66" s="143" t="n"/>
      <c r="D66" s="67" t="inlineStr">
        <is>
          <t>Répartition des travaux par type de raphia et crocheteur/travail.</t>
        </is>
      </c>
      <c r="E66" s="55">
        <f>F66+G66</f>
        <v/>
      </c>
      <c r="F66" s="57" t="n">
        <v>1</v>
      </c>
      <c r="G66" s="58" t="n"/>
    </row>
    <row r="67" ht="15.75" customHeight="1" s="77">
      <c r="A67" s="142" t="n"/>
      <c r="C67" s="143" t="n"/>
      <c r="D67" s="67" t="inlineStr">
        <is>
          <t>Suivi des crocheteurs (performance en termes de durée de travail).</t>
        </is>
      </c>
      <c r="E67" s="55">
        <f>F67+G67</f>
        <v/>
      </c>
      <c r="F67" s="57" t="n">
        <v>1</v>
      </c>
      <c r="G67" s="58" t="n"/>
    </row>
    <row r="68" ht="15.75" customHeight="1" s="77">
      <c r="A68" s="142" t="n"/>
      <c r="C68" s="143" t="n"/>
      <c r="D68" s="67" t="inlineStr">
        <is>
          <t>Temps entre préparation et distribution pour l'analyse de l'efficacité logistique.</t>
        </is>
      </c>
      <c r="E68" s="55">
        <f>F68+G68</f>
        <v/>
      </c>
      <c r="F68" s="57" t="n">
        <v>1</v>
      </c>
      <c r="G68" s="58" t="n"/>
    </row>
    <row r="69" ht="15.75" customHeight="1" s="77">
      <c r="A69" s="142" t="n"/>
      <c r="C69" s="143" t="n"/>
      <c r="D69" s="67" t="inlineStr">
        <is>
          <t>Taux de pièces irrécupérables par crocheteur, type de raphia, ou travail.</t>
        </is>
      </c>
      <c r="E69" s="55">
        <f>F69+G69</f>
        <v/>
      </c>
      <c r="F69" s="57" t="n">
        <v>1</v>
      </c>
      <c r="G69" s="58" t="n"/>
    </row>
    <row r="70" ht="15.75" customHeight="1" s="77">
      <c r="A70" s="142" t="n"/>
      <c r="C70" s="143" t="n"/>
      <c r="D70" s="57" t="inlineStr">
        <is>
          <t>Temps entre distribution et contrôle bout de table</t>
        </is>
      </c>
      <c r="E70" s="55">
        <f>F70+G70</f>
        <v/>
      </c>
      <c r="F70" s="57" t="n">
        <v>1</v>
      </c>
      <c r="G70" s="58" t="n"/>
    </row>
    <row r="71" ht="15.75" customHeight="1" s="77">
      <c r="A71" s="142" t="n"/>
      <c r="C71" s="143" t="n"/>
      <c r="D71" s="57" t="inlineStr">
        <is>
          <t>Nombre de pièces contrôlées par contrôleur.</t>
        </is>
      </c>
      <c r="E71" s="55">
        <f>F71+G71</f>
        <v/>
      </c>
      <c r="F71" s="57" t="n">
        <v>1</v>
      </c>
      <c r="G71" s="58" t="n"/>
    </row>
    <row r="72" ht="15.75" customHeight="1" s="77">
      <c r="A72" s="142" t="n"/>
      <c r="C72" s="143" t="n"/>
      <c r="D72" s="67" t="inlineStr">
        <is>
          <t>KPI général par chaque intervenant (trieurs, crocheteurs, contrôleurs) via des indicateurs, par période</t>
        </is>
      </c>
      <c r="E72" s="55">
        <f>F72+G72</f>
        <v/>
      </c>
      <c r="F72" s="58" t="n">
        <v>2</v>
      </c>
      <c r="G72" s="57" t="n"/>
    </row>
    <row r="73" ht="15.75" customHeight="1" s="77">
      <c r="A73" s="142" t="n"/>
      <c r="C73" s="143" t="n"/>
      <c r="D73" s="68" t="inlineStr">
        <is>
          <t>Situation des en-cours en production en fonction des distribués et non contrôlés finaux avec les noms de crocheteuses et les numéros uniques + le type de travail</t>
        </is>
      </c>
      <c r="E73" s="55">
        <f>F73+G73</f>
        <v/>
      </c>
      <c r="F73" s="58" t="n">
        <v>2</v>
      </c>
      <c r="G73" s="57" t="n"/>
    </row>
    <row r="74" ht="15.75" customHeight="1" s="77">
      <c r="A74" s="144" t="n"/>
      <c r="B74" s="145" t="n"/>
      <c r="C74" s="146" t="n"/>
      <c r="D74" s="19" t="inlineStr">
        <is>
          <t>Sous Total</t>
        </is>
      </c>
      <c r="E74" s="12">
        <f>SUM(E61:E73)</f>
        <v/>
      </c>
      <c r="F74" s="69">
        <f>SUM(F61:F73)</f>
        <v/>
      </c>
      <c r="G74" s="69">
        <f>SUM(G61:G73)</f>
        <v/>
      </c>
    </row>
    <row r="75" ht="15.75" customHeight="1" s="77">
      <c r="A75" s="18" t="inlineStr">
        <is>
          <t>Tests</t>
        </is>
      </c>
      <c r="B75" s="140" t="n"/>
      <c r="C75" s="141" t="n"/>
      <c r="D75" s="165" t="inlineStr">
        <is>
          <t>Tests unitaires</t>
        </is>
      </c>
      <c r="E75" s="138" t="n"/>
      <c r="F75" s="138" t="n"/>
      <c r="G75" s="139" t="n"/>
    </row>
    <row r="76" ht="15.75" customHeight="1" s="77">
      <c r="A76" s="142" t="n"/>
      <c r="C76" s="143" t="n"/>
      <c r="D76" s="50" t="inlineStr">
        <is>
          <t>tests unitaires pour les fonctionnalités de collecte de données.</t>
        </is>
      </c>
      <c r="E76" s="12">
        <f>F76+G76</f>
        <v/>
      </c>
      <c r="F76" s="48" t="n">
        <v>3</v>
      </c>
      <c r="G76" s="21" t="n"/>
    </row>
    <row r="77" ht="15.75" customHeight="1" s="77">
      <c r="A77" s="142" t="n"/>
      <c r="C77" s="143" t="n"/>
      <c r="D77" s="50" t="inlineStr">
        <is>
          <t>Valider la génération des statistiques (exemple : vérifier les calculs et la cohérence des données).</t>
        </is>
      </c>
      <c r="E77" s="12">
        <f>F77+G77</f>
        <v/>
      </c>
      <c r="F77" s="21" t="n"/>
      <c r="G77" s="48" t="n">
        <v>2</v>
      </c>
    </row>
    <row r="78" ht="15.75" customHeight="1" s="77">
      <c r="A78" s="144" t="n"/>
      <c r="B78" s="145" t="n"/>
      <c r="C78" s="146" t="n"/>
      <c r="D78" s="50" t="inlineStr">
        <is>
          <t>Tester la performance et la fiabilité de l'application (en particulier en cas de coupures réseau).</t>
        </is>
      </c>
      <c r="E78" s="12">
        <f>F78+G78</f>
        <v/>
      </c>
      <c r="F78" s="48" t="n">
        <v>2</v>
      </c>
      <c r="G78" s="21" t="n"/>
    </row>
    <row r="79" ht="15.75" customHeight="1" s="77">
      <c r="A79" s="18" t="inlineStr">
        <is>
          <t>Déploiement</t>
        </is>
      </c>
      <c r="B79" s="138" t="n"/>
      <c r="C79" s="139" t="n"/>
      <c r="D79" s="13" t="inlineStr">
        <is>
          <t>Déploiement local</t>
        </is>
      </c>
      <c r="E79" s="12">
        <f>F79+G79</f>
        <v/>
      </c>
      <c r="F79" s="48" t="n">
        <v>2</v>
      </c>
      <c r="G79" s="48" t="n">
        <v>2</v>
      </c>
    </row>
    <row r="80" ht="15.75" customHeight="1" s="77">
      <c r="A80" s="18" t="inlineStr">
        <is>
          <t>Formation</t>
        </is>
      </c>
      <c r="B80" s="138" t="n"/>
      <c r="C80" s="139" t="n"/>
      <c r="D80" s="13" t="inlineStr">
        <is>
          <t>Formation utilisateur</t>
        </is>
      </c>
      <c r="E80" s="12">
        <f>F80+G80</f>
        <v/>
      </c>
      <c r="F80" s="48" t="n">
        <v>1</v>
      </c>
      <c r="G80" s="48" t="n">
        <v>1</v>
      </c>
    </row>
    <row r="81" ht="15.75" customHeight="1" s="77">
      <c r="A81" s="18" t="inlineStr">
        <is>
          <t>Autres projets</t>
        </is>
      </c>
      <c r="B81" s="140" t="n"/>
      <c r="C81" s="141" t="n"/>
      <c r="D81" s="13" t="inlineStr">
        <is>
          <t>Correction bugs sur l'application GRH</t>
        </is>
      </c>
      <c r="E81" s="12">
        <f>F81+G81</f>
        <v/>
      </c>
      <c r="F81" s="48" t="n">
        <v>6</v>
      </c>
      <c r="G81" s="48" t="n">
        <v>2</v>
      </c>
    </row>
    <row r="82" ht="15.75" customHeight="1" s="77">
      <c r="A82" s="142" t="n"/>
      <c r="C82" s="143" t="n"/>
      <c r="D82" s="13" t="inlineStr">
        <is>
          <t>Assistance sur site</t>
        </is>
      </c>
      <c r="E82" s="12">
        <f>F82+G82</f>
        <v/>
      </c>
      <c r="F82" s="48" t="n"/>
      <c r="G82" s="48" t="n">
        <v>3</v>
      </c>
    </row>
    <row r="83" ht="15.75" customHeight="1" s="77">
      <c r="A83" s="142" t="n"/>
      <c r="C83" s="143" t="n"/>
      <c r="D83" s="13" t="inlineStr">
        <is>
          <t>Déploiement application Odoo</t>
        </is>
      </c>
      <c r="E83" s="12">
        <f>F83+G83</f>
        <v/>
      </c>
      <c r="F83" s="48" t="n">
        <v>3</v>
      </c>
      <c r="G83" s="48" t="n">
        <v>3</v>
      </c>
    </row>
    <row r="84" ht="15.75" customHeight="1" s="77">
      <c r="A84" s="144" t="n"/>
      <c r="B84" s="145" t="n"/>
      <c r="C84" s="146" t="n"/>
      <c r="D84" s="13" t="inlineStr">
        <is>
          <t>Personnalisation module Odoo</t>
        </is>
      </c>
      <c r="E84" s="12">
        <f>F84+G84</f>
        <v/>
      </c>
      <c r="F84" s="48" t="n"/>
      <c r="G84" s="48" t="n">
        <v>4</v>
      </c>
    </row>
    <row r="85" ht="15.75" customHeight="1" s="77">
      <c r="A85" s="83" t="n"/>
      <c r="B85" s="83" t="n"/>
      <c r="C85" s="83" t="n"/>
      <c r="D85" s="30" t="n"/>
      <c r="E85" s="12">
        <f>SUM(E81:E84)</f>
        <v/>
      </c>
      <c r="F85" s="12">
        <f>SUM(F81:F84)</f>
        <v/>
      </c>
      <c r="G85" s="12">
        <f>SUM(G81:G84)</f>
        <v/>
      </c>
    </row>
    <row r="86" ht="15.75" customHeight="1" s="77">
      <c r="A86" s="3" t="n"/>
      <c r="B86" s="3" t="n"/>
      <c r="C86" s="3" t="n"/>
      <c r="D86" s="3" t="n"/>
      <c r="E86" s="33">
        <f>SUM(E76:E80,E6,E10,E16,E26,E40,E53,E59,E74,E85)</f>
        <v/>
      </c>
      <c r="F86" s="33">
        <f>SUM(F76:F80,F6,F10,F16,F26,F40,F53,F59,F74,F85)</f>
        <v/>
      </c>
      <c r="G86" s="33">
        <f>SUM(G76:G80,G6,G10,G16,G26,G40,G53,G59,G74,G85)</f>
        <v/>
      </c>
    </row>
    <row r="87" ht="15.75" customHeight="1" s="77"/>
    <row r="88" ht="15.75" customHeight="1" s="77"/>
    <row r="89" ht="15.75" customHeight="1" s="77"/>
    <row r="90" ht="15.75" customHeight="1" s="77"/>
    <row r="91" ht="15.75" customHeight="1" s="77"/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mergeCells count="16">
    <mergeCell ref="D54:G54"/>
    <mergeCell ref="D41:G41"/>
    <mergeCell ref="A81:C84"/>
    <mergeCell ref="A2:B2"/>
    <mergeCell ref="D17:G17"/>
    <mergeCell ref="A80:C80"/>
    <mergeCell ref="D75:G75"/>
    <mergeCell ref="A79:C79"/>
    <mergeCell ref="D60:G60"/>
    <mergeCell ref="A4:C6"/>
    <mergeCell ref="D7:G7"/>
    <mergeCell ref="A75:C78"/>
    <mergeCell ref="A3:C3"/>
    <mergeCell ref="D11:G11"/>
    <mergeCell ref="D27:G27"/>
    <mergeCell ref="A7:C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2026-08-24T12:39:18Z</dcterms:created>
  <dcterms:modified xsi:type="dcterms:W3CDTF">2026-10-08T05:32:06Z</dcterms:modified>
  <cp:lastModifiedBy>Mdg Stagiaire IT</cp:lastModifiedBy>
</cp:coreProperties>
</file>