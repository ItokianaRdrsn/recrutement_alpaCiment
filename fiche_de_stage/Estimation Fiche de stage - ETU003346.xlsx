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1" autoFilterDateGrouping="1"/>
  </bookViews>
  <sheets>
    <sheet name="Estimation design 1" sheetId="1" state="visible" r:id="rId1"/>
    <sheet name="Estimation recrutement" sheetId="2" state="visible" r:id="rId2"/>
    <sheet name="Estimation info 1" sheetId="3" state="visible" r:id="rId3"/>
    <sheet name="Estimation info 2" sheetId="4" state="visible" r:id="rId4"/>
    <sheet name="Estimation info 3" sheetId="5" state="visible" r:id="rId5"/>
    <sheet name="Estimation Agile info 4" sheetId="6" state="visible" r:id="rId6"/>
    <sheet name="Estimation binome" sheetId="7" state="visible" r:id="rId7"/>
  </sheets>
  <definedNames>
    <definedName name="_xlnm._FilterDatabase" localSheetId="1" hidden="1">'Estimation recrutement'!$A$3:$C$93</definedName>
    <definedName name="_xlnm.Print_Area" localSheetId="1">'Estimation recrutement'!$A$1:$C$93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2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b val="1"/>
      <color theme="1"/>
      <sz val="10"/>
      <scheme val="minor"/>
    </font>
    <font>
      <name val="Arial"/>
      <color theme="1"/>
      <sz val="10"/>
    </font>
    <font>
      <name val="Arial"/>
      <sz val="10"/>
    </font>
    <font>
      <name val="Arial"/>
      <b val="1"/>
      <color theme="1"/>
      <sz val="14"/>
    </font>
    <font>
      <name val="Arial"/>
      <color theme="1"/>
      <sz val="10"/>
      <scheme val="minor"/>
    </font>
    <font>
      <name val="Calibri"/>
      <color theme="1"/>
      <sz val="11"/>
    </font>
    <font>
      <name val="Calibri"/>
      <color theme="1"/>
      <sz val="12"/>
    </font>
    <font>
      <name val="Arial"/>
      <b val="1"/>
      <color theme="1"/>
      <sz val="12"/>
    </font>
    <font>
      <name val="Arial"/>
      <b val="1"/>
      <color theme="1"/>
      <sz val="11"/>
    </font>
    <font>
      <name val="Calibri"/>
      <b val="1"/>
      <color theme="1"/>
      <sz val="12"/>
    </font>
    <font>
      <name val="Arial"/>
      <b val="1"/>
      <color rgb="FFFF0000"/>
      <sz val="18"/>
    </font>
    <font>
      <name val="Arial"/>
      <b val="1"/>
      <color theme="1"/>
      <sz val="10"/>
    </font>
    <font>
      <name val="Calibri"/>
      <b val="1"/>
      <color theme="1"/>
      <sz val="16"/>
    </font>
    <font>
      <name val="Arial"/>
      <b val="1"/>
      <color rgb="FFCC0000"/>
      <sz val="10"/>
    </font>
    <font>
      <name val="Calibri"/>
      <b val="1"/>
      <color rgb="FF990000"/>
      <sz val="11"/>
    </font>
    <font>
      <name val="Arial"/>
      <color rgb="FF222222"/>
      <sz val="10"/>
    </font>
    <font>
      <name val="Arial"/>
      <family val="2"/>
      <b val="1"/>
      <color theme="1"/>
      <sz val="11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2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rgb="FFFF0000"/>
      <sz val="16"/>
      <scheme val="minor"/>
    </font>
    <font>
      <name val="Calibri"/>
      <color rgb="001F2933"/>
      <sz val="11"/>
    </font>
    <font>
      <name val="Calibri"/>
      <b val="1"/>
      <color rgb="00FFFFFF"/>
      <sz val="16"/>
    </font>
    <font>
      <name val="Calibri"/>
      <b val="1"/>
      <color rgb="001F4E78"/>
      <sz val="13"/>
    </font>
    <font>
      <name val="Calibri"/>
      <b val="1"/>
      <color rgb="001F4E78"/>
      <sz val="11"/>
    </font>
    <font>
      <name val="Calibri"/>
      <b val="1"/>
      <i val="1"/>
      <color rgb="005B6770"/>
      <sz val="10"/>
    </font>
    <font>
      <name val="Calibri"/>
      <b val="1"/>
      <color rgb="00274E13"/>
      <sz val="12"/>
    </font>
  </fonts>
  <fills count="34">
    <fill>
      <patternFill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EEAF6"/>
        <bgColor rgb="FFDEEAF6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6AA84F"/>
        <bgColor rgb="FF6AA84F"/>
      </patternFill>
    </fill>
    <fill>
      <patternFill patternType="solid">
        <fgColor rgb="FFFFF2CC"/>
        <bgColor rgb="FFFFF2CC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1499984740745262"/>
        <bgColor rgb="FFB6D7A8"/>
      </patternFill>
    </fill>
    <fill>
      <patternFill patternType="solid">
        <fgColor rgb="FF92D050"/>
        <bgColor rgb="FFB6D7A8"/>
      </patternFill>
    </fill>
    <fill>
      <patternFill patternType="solid">
        <fgColor rgb="FF92D050"/>
        <bgColor rgb="FFF4CCCC"/>
      </patternFill>
    </fill>
    <fill>
      <patternFill patternType="solid">
        <fgColor rgb="FF92D050"/>
        <bgColor rgb="FFEFEFEF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3999755851924192"/>
        <bgColor rgb="FFCCCCCC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3999755851924192"/>
        <bgColor rgb="FFF4CCCC"/>
      </patternFill>
    </fill>
    <fill>
      <patternFill patternType="solid">
        <fgColor theme="4" tint="0.3999755851924192"/>
        <bgColor rgb="FF9FC5E8"/>
      </patternFill>
    </fill>
    <fill>
      <patternFill patternType="solid">
        <fgColor theme="0" tint="-0.1499984740745262"/>
        <bgColor rgb="FFCCCCCC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rgb="FFB6D7A8"/>
      </patternFill>
    </fill>
    <fill>
      <patternFill patternType="solid">
        <fgColor theme="5" tint="0.5999938962981048"/>
        <bgColor rgb="FF9FC5E8"/>
      </patternFill>
    </fill>
    <fill>
      <patternFill patternType="solid">
        <fgColor theme="5" tint="0.5999938962981048"/>
        <bgColor rgb="FFF4CCCC"/>
      </patternFill>
    </fill>
    <fill>
      <patternFill patternType="solid">
        <fgColor theme="5" tint="0.5999938962981048"/>
        <bgColor rgb="FFCCCCCC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F3F6FA"/>
      </patternFill>
    </fill>
    <fill>
      <patternFill patternType="solid">
        <fgColor rgb="00C6E0B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bottom style="medium">
        <color rgb="001F4E78"/>
      </bottom>
    </border>
    <border>
      <left style="thin">
        <color rgb="00D9E2EC"/>
      </left>
      <right style="thin">
        <color rgb="00D9E2EC"/>
      </right>
      <top style="medium">
        <color rgb="001F4E78"/>
      </top>
      <bottom style="medium">
        <color rgb="001F4E78"/>
      </bottom>
    </border>
    <border>
      <left style="thin">
        <color rgb="00D9E2EC"/>
      </left>
      <right style="thin">
        <color rgb="00D9E2EC"/>
      </right>
      <top style="medium">
        <color rgb="001F4E78"/>
      </top>
      <bottom style="thin">
        <color rgb="00D9E2EC"/>
      </bottom>
    </border>
    <border>
      <left/>
      <right/>
      <top/>
      <bottom style="medium">
        <color rgb="001F4E78"/>
      </bottom>
      <diagonal/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17"/>
  </cellStyleXfs>
  <cellXfs count="16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1" fillId="2" borderId="1" pivotButton="0" quotePrefix="0" xfId="0"/>
    <xf numFmtId="0" fontId="2" fillId="0" borderId="0" applyAlignment="1" pivotButton="0" quotePrefix="0" xfId="0">
      <alignment horizontal="right"/>
    </xf>
    <xf numFmtId="0" fontId="1" fillId="3" borderId="1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4" borderId="1" pivotButton="0" quotePrefix="0" xfId="0"/>
    <xf numFmtId="0" fontId="8" fillId="0" borderId="1" pivotButton="0" quotePrefix="0" xfId="0"/>
    <xf numFmtId="0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0" fontId="7" fillId="0" borderId="1" applyAlignment="1" pivotButton="0" quotePrefix="0" xfId="0">
      <alignment horizontal="right"/>
    </xf>
    <xf numFmtId="0" fontId="3" fillId="0" borderId="0" applyAlignment="1" pivotButton="0" quotePrefix="0" xfId="0">
      <alignment horizontal="center"/>
    </xf>
    <xf numFmtId="0" fontId="11" fillId="0" borderId="1" pivotButton="0" quotePrefix="0" xfId="0"/>
    <xf numFmtId="0" fontId="8" fillId="0" borderId="0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0" xfId="0"/>
    <xf numFmtId="0" fontId="11" fillId="0" borderId="1" applyAlignment="1" pivotButton="0" quotePrefix="0" xfId="0">
      <alignment horizontal="center"/>
    </xf>
    <xf numFmtId="0" fontId="3" fillId="0" borderId="1" pivotButton="0" quotePrefix="0" xfId="0"/>
    <xf numFmtId="0" fontId="10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right"/>
    </xf>
    <xf numFmtId="0" fontId="1" fillId="6" borderId="1" pivotButton="0" quotePrefix="0" xfId="0"/>
    <xf numFmtId="0" fontId="1" fillId="7" borderId="1" pivotButton="0" quotePrefix="0" xfId="0"/>
    <xf numFmtId="0" fontId="3" fillId="8" borderId="0" applyAlignment="1" pivotButton="0" quotePrefix="0" xfId="0">
      <alignment horizontal="center"/>
    </xf>
    <xf numFmtId="0" fontId="11" fillId="0" borderId="0" pivotButton="0" quotePrefix="0" xfId="0"/>
    <xf numFmtId="0" fontId="1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wrapText="1"/>
    </xf>
    <xf numFmtId="0" fontId="7" fillId="0" borderId="0" pivotButton="0" quotePrefix="0" xfId="0"/>
    <xf numFmtId="0" fontId="1" fillId="0" borderId="12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9" borderId="0" pivotButton="0" quotePrefix="0" xfId="0"/>
    <xf numFmtId="0" fontId="1" fillId="3" borderId="1" applyAlignment="1" pivotButton="0" quotePrefix="0" xfId="0">
      <alignment horizontal="center" wrapText="1"/>
    </xf>
    <xf numFmtId="0" fontId="3" fillId="8" borderId="0" pivotButton="0" quotePrefix="0" xfId="0"/>
    <xf numFmtId="0" fontId="3" fillId="0" borderId="0" applyAlignment="1" pivotButton="0" quotePrefix="0" xfId="0">
      <alignment horizontal="right"/>
    </xf>
    <xf numFmtId="4" fontId="1" fillId="3" borderId="1" applyAlignment="1" pivotButton="0" quotePrefix="0" xfId="0">
      <alignment horizontal="center"/>
    </xf>
    <xf numFmtId="0" fontId="3" fillId="4" borderId="0" pivotButton="0" quotePrefix="0" xfId="0"/>
    <xf numFmtId="0" fontId="11" fillId="0" borderId="1" applyAlignment="1" pivotButton="0" quotePrefix="0" xfId="0">
      <alignment wrapText="1"/>
    </xf>
    <xf numFmtId="164" fontId="7" fillId="0" borderId="1" applyAlignment="1" pivotButton="0" quotePrefix="0" xfId="0">
      <alignment horizontal="center"/>
    </xf>
    <xf numFmtId="0" fontId="1" fillId="7" borderId="1" applyAlignment="1" pivotButton="0" quotePrefix="0" xfId="0">
      <alignment wrapText="1"/>
    </xf>
    <xf numFmtId="164" fontId="3" fillId="0" borderId="1" pivotButton="0" quotePrefix="0" xfId="0"/>
    <xf numFmtId="0" fontId="13" fillId="0" borderId="0" pivotButton="0" quotePrefix="0" xfId="0"/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wrapText="1"/>
    </xf>
    <xf numFmtId="0" fontId="13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right"/>
    </xf>
    <xf numFmtId="0" fontId="1" fillId="7" borderId="0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3" fillId="4" borderId="1" applyAlignment="1" pivotButton="0" quotePrefix="0" xfId="0">
      <alignment horizontal="right"/>
    </xf>
    <xf numFmtId="4" fontId="3" fillId="0" borderId="1" pivotButton="0" quotePrefix="0" xfId="0"/>
    <xf numFmtId="0" fontId="1" fillId="10" borderId="1" applyAlignment="1" pivotButton="0" quotePrefix="0" xfId="0">
      <alignment wrapText="1"/>
    </xf>
    <xf numFmtId="4" fontId="1" fillId="10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4" fontId="1" fillId="0" borderId="1" applyAlignment="1" pivotButton="0" quotePrefix="0" xfId="0">
      <alignment horizontal="center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0" fontId="15" fillId="0" borderId="0" applyAlignment="1" pivotButton="0" quotePrefix="0" xfId="0">
      <alignment horizontal="center" wrapText="1"/>
    </xf>
    <xf numFmtId="0" fontId="1" fillId="4" borderId="1" pivotButton="0" quotePrefix="0" xfId="0"/>
    <xf numFmtId="4" fontId="16" fillId="0" borderId="1" applyAlignment="1" pivotButton="0" quotePrefix="0" xfId="0">
      <alignment horizontal="center"/>
    </xf>
    <xf numFmtId="0" fontId="17" fillId="4" borderId="1" pivotButton="0" quotePrefix="0" xfId="0"/>
    <xf numFmtId="0" fontId="17" fillId="4" borderId="16" pivotButton="0" quotePrefix="0" xfId="0"/>
    <xf numFmtId="0" fontId="17" fillId="4" borderId="17" pivotButton="0" quotePrefix="0" xfId="0"/>
    <xf numFmtId="0" fontId="17" fillId="4" borderId="1" applyAlignment="1" pivotButton="0" quotePrefix="0" xfId="0">
      <alignment wrapText="1"/>
    </xf>
    <xf numFmtId="0" fontId="17" fillId="4" borderId="17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3" fillId="4" borderId="17" applyAlignment="1" pivotButton="0" quotePrefix="0" xfId="0">
      <alignment wrapText="1"/>
    </xf>
    <xf numFmtId="0" fontId="7" fillId="5" borderId="1" applyAlignment="1" pivotButton="0" quotePrefix="0" xfId="0">
      <alignment horizontal="center"/>
    </xf>
    <xf numFmtId="0" fontId="1" fillId="0" borderId="2" applyAlignment="1" pivotButton="0" quotePrefix="0" xfId="0">
      <alignment horizontal="left" vertical="center"/>
    </xf>
    <xf numFmtId="0" fontId="4" fillId="0" borderId="3" pivotButton="0" quotePrefix="0" xfId="0"/>
    <xf numFmtId="0" fontId="4" fillId="0" borderId="4" pivotButton="0" quotePrefix="0" xfId="0"/>
    <xf numFmtId="0" fontId="1" fillId="0" borderId="5" applyAlignment="1" pivotButton="0" quotePrefix="0" xfId="0">
      <alignment horizontal="left" vertical="center"/>
    </xf>
    <xf numFmtId="0" fontId="4" fillId="0" borderId="7" pivotButton="0" quotePrefix="0" xfId="0"/>
    <xf numFmtId="0" fontId="4" fillId="0" borderId="8" pivotButton="0" quotePrefix="0" xfId="0"/>
    <xf numFmtId="0" fontId="4" fillId="0" borderId="10" pivotButton="0" quotePrefix="0" xfId="0"/>
    <xf numFmtId="0" fontId="0" fillId="0" borderId="0" pivotButton="0" quotePrefix="0" xfId="0"/>
    <xf numFmtId="0" fontId="4" fillId="0" borderId="11" pivotButton="0" quotePrefix="0" xfId="0"/>
    <xf numFmtId="0" fontId="4" fillId="0" borderId="13" pivotButton="0" quotePrefix="0" xfId="0"/>
    <xf numFmtId="0" fontId="4" fillId="0" borderId="14" pivotButton="0" quotePrefix="0" xfId="0"/>
    <xf numFmtId="0" fontId="4" fillId="0" borderId="15" pivotButton="0" quotePrefix="0" xfId="0"/>
    <xf numFmtId="0" fontId="3" fillId="0" borderId="2" pivotButton="0" quotePrefix="0" xfId="0"/>
    <xf numFmtId="0" fontId="1" fillId="0" borderId="0" applyAlignment="1" pivotButton="0" quotePrefix="0" xfId="0">
      <alignment horizontal="center"/>
    </xf>
    <xf numFmtId="0" fontId="3" fillId="0" borderId="2" applyAlignment="1" pivotButton="0" quotePrefix="0" xfId="0">
      <alignment horizontal="left" vertical="center"/>
    </xf>
    <xf numFmtId="0" fontId="1" fillId="0" borderId="6" applyAlignment="1" pivotButton="0" quotePrefix="0" xfId="0">
      <alignment horizontal="left" vertical="center"/>
    </xf>
    <xf numFmtId="0" fontId="4" fillId="0" borderId="9" pivotButton="0" quotePrefix="0" xfId="0"/>
    <xf numFmtId="0" fontId="4" fillId="0" borderId="12" pivotButton="0" quotePrefix="0" xfId="0"/>
    <xf numFmtId="0" fontId="13" fillId="0" borderId="5" applyAlignment="1" pivotButton="0" quotePrefix="0" xfId="0">
      <alignment horizontal="left" vertical="center"/>
    </xf>
    <xf numFmtId="0" fontId="14" fillId="7" borderId="2" applyAlignment="1" pivotButton="0" quotePrefix="0" xfId="0">
      <alignment horizontal="center"/>
    </xf>
    <xf numFmtId="0" fontId="1" fillId="0" borderId="5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3" fillId="0" borderId="5" pivotButton="0" quotePrefix="0" xfId="0"/>
    <xf numFmtId="0" fontId="20" fillId="0" borderId="0" applyAlignment="1" pivotButton="0" quotePrefix="0" xfId="0">
      <alignment horizontal="center"/>
    </xf>
    <xf numFmtId="0" fontId="3" fillId="11" borderId="0" pivotButton="0" quotePrefix="0" xfId="0"/>
    <xf numFmtId="0" fontId="6" fillId="12" borderId="0" applyAlignment="1" pivotButton="0" quotePrefix="0" xfId="0">
      <alignment horizontal="right"/>
    </xf>
    <xf numFmtId="0" fontId="9" fillId="13" borderId="0" applyAlignment="1" pivotButton="0" quotePrefix="0" xfId="0">
      <alignment horizontal="center"/>
    </xf>
    <xf numFmtId="0" fontId="3" fillId="11" borderId="0" applyAlignment="1" pivotButton="0" quotePrefix="0" xfId="0">
      <alignment horizontal="center"/>
    </xf>
    <xf numFmtId="0" fontId="9" fillId="14" borderId="0" applyAlignment="1" pivotButton="0" quotePrefix="0" xfId="0">
      <alignment horizontal="center"/>
    </xf>
    <xf numFmtId="0" fontId="3" fillId="15" borderId="0" applyAlignment="1" pivotButton="0" quotePrefix="0" xfId="0">
      <alignment horizontal="center"/>
    </xf>
    <xf numFmtId="0" fontId="3" fillId="16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9" fillId="0" borderId="0" applyAlignment="1" pivotButton="0" quotePrefix="0" xfId="0">
      <alignment horizontal="center"/>
    </xf>
    <xf numFmtId="0" fontId="6" fillId="18" borderId="0" pivotButton="0" quotePrefix="0" xfId="0"/>
    <xf numFmtId="0" fontId="10" fillId="18" borderId="0" applyAlignment="1" pivotButton="0" quotePrefix="0" xfId="0">
      <alignment horizontal="center"/>
    </xf>
    <xf numFmtId="0" fontId="6" fillId="19" borderId="0" pivotButton="0" quotePrefix="0" xfId="0"/>
    <xf numFmtId="0" fontId="3" fillId="20" borderId="0" applyAlignment="1" pivotButton="0" quotePrefix="0" xfId="0">
      <alignment horizontal="center"/>
    </xf>
    <xf numFmtId="0" fontId="3" fillId="19" borderId="0" applyAlignment="1" pivotButton="0" quotePrefix="0" xfId="0">
      <alignment horizontal="center"/>
    </xf>
    <xf numFmtId="0" fontId="3" fillId="21" borderId="0" applyAlignment="1" pivotButton="0" quotePrefix="0" xfId="0">
      <alignment horizontal="center"/>
    </xf>
    <xf numFmtId="0" fontId="3" fillId="19" borderId="0" pivotButton="0" quotePrefix="0" xfId="0"/>
    <xf numFmtId="0" fontId="10" fillId="12" borderId="0" applyAlignment="1" pivotButton="0" quotePrefix="0" xfId="0">
      <alignment horizontal="center"/>
    </xf>
    <xf numFmtId="0" fontId="10" fillId="22" borderId="0" applyAlignment="1" pivotButton="0" quotePrefix="0" xfId="0">
      <alignment horizontal="center"/>
    </xf>
    <xf numFmtId="0" fontId="3" fillId="12" borderId="0" pivotButton="0" quotePrefix="0" xfId="0"/>
    <xf numFmtId="0" fontId="3" fillId="12" borderId="0" applyAlignment="1" pivotButton="0" quotePrefix="0" xfId="0">
      <alignment horizontal="center"/>
    </xf>
    <xf numFmtId="0" fontId="6" fillId="23" borderId="0" pivotButton="0" quotePrefix="0" xfId="0"/>
    <xf numFmtId="0" fontId="3" fillId="23" borderId="0" applyAlignment="1" pivotButton="0" quotePrefix="0" xfId="0">
      <alignment horizontal="center"/>
    </xf>
    <xf numFmtId="0" fontId="9" fillId="24" borderId="0" applyAlignment="1" pivotButton="0" quotePrefix="0" xfId="0">
      <alignment horizontal="center"/>
    </xf>
    <xf numFmtId="0" fontId="3" fillId="25" borderId="0" applyAlignment="1" pivotButton="0" quotePrefix="0" xfId="0">
      <alignment horizontal="center"/>
    </xf>
    <xf numFmtId="0" fontId="3" fillId="26" borderId="0" applyAlignment="1" pivotButton="0" quotePrefix="0" xfId="0">
      <alignment horizontal="center"/>
    </xf>
    <xf numFmtId="0" fontId="10" fillId="27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17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8" borderId="0" applyAlignment="1" pivotButton="0" quotePrefix="0" xfId="0">
      <alignment horizontal="center"/>
    </xf>
    <xf numFmtId="0" fontId="6" fillId="23" borderId="0" applyAlignment="1" pivotButton="0" quotePrefix="0" xfId="0">
      <alignment horizontal="center"/>
    </xf>
    <xf numFmtId="0" fontId="6" fillId="19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18" fillId="11" borderId="0" applyAlignment="1" pivotButton="0" quotePrefix="0" xfId="0">
      <alignment horizontal="center"/>
    </xf>
    <xf numFmtId="0" fontId="20" fillId="11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20" fillId="12" borderId="0" applyAlignment="1" pivotButton="0" quotePrefix="0" xfId="0">
      <alignment horizontal="center"/>
    </xf>
    <xf numFmtId="0" fontId="18" fillId="11" borderId="0" pivotButton="0" quotePrefix="0" xfId="0"/>
    <xf numFmtId="0" fontId="1" fillId="0" borderId="1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3" fillId="0" borderId="1" applyAlignment="1" pivotButton="0" quotePrefix="0" xfId="0">
      <alignment horizontal="left" vertical="center"/>
    </xf>
    <xf numFmtId="0" fontId="24" fillId="28" borderId="19" applyAlignment="1" pivotButton="0" quotePrefix="0" xfId="0">
      <alignment horizontal="center" vertical="center"/>
    </xf>
    <xf numFmtId="0" fontId="23" fillId="0" borderId="19" applyAlignment="1" pivotButton="0" quotePrefix="0" xfId="0">
      <alignment vertical="center" wrapText="1"/>
    </xf>
    <xf numFmtId="0" fontId="25" fillId="29" borderId="18" applyAlignment="1" pivotButton="0" quotePrefix="0" xfId="0">
      <alignment horizontal="center" vertical="center"/>
    </xf>
    <xf numFmtId="0" fontId="23" fillId="0" borderId="18" applyAlignment="1" pivotButton="0" quotePrefix="0" xfId="0">
      <alignment vertical="center" wrapText="1"/>
    </xf>
    <xf numFmtId="0" fontId="26" fillId="29" borderId="20" applyAlignment="1" pivotButton="0" quotePrefix="0" xfId="0">
      <alignment horizontal="center" vertical="center"/>
    </xf>
    <xf numFmtId="0" fontId="26" fillId="30" borderId="21" applyAlignment="1" pivotButton="0" quotePrefix="0" xfId="0">
      <alignment horizontal="center" vertical="center"/>
    </xf>
    <xf numFmtId="0" fontId="26" fillId="30" borderId="21" applyAlignment="1" pivotButton="0" quotePrefix="0" xfId="0">
      <alignment vertical="center" wrapText="1"/>
    </xf>
    <xf numFmtId="165" fontId="23" fillId="0" borderId="18" applyAlignment="1" pivotButton="0" quotePrefix="0" xfId="0">
      <alignment horizontal="center" vertical="center"/>
    </xf>
    <xf numFmtId="0" fontId="26" fillId="31" borderId="21" applyAlignment="1" pivotButton="0" quotePrefix="0" xfId="0">
      <alignment vertical="center" wrapText="1"/>
    </xf>
    <xf numFmtId="165" fontId="26" fillId="31" borderId="21" applyAlignment="1" pivotButton="0" quotePrefix="0" xfId="0">
      <alignment horizontal="center" vertical="center"/>
    </xf>
    <xf numFmtId="0" fontId="27" fillId="32" borderId="18" applyAlignment="1" pivotButton="0" quotePrefix="0" xfId="0">
      <alignment vertical="center" wrapText="1"/>
    </xf>
    <xf numFmtId="0" fontId="27" fillId="32" borderId="18" applyAlignment="1" pivotButton="0" quotePrefix="0" xfId="0">
      <alignment horizontal="center" vertical="center"/>
    </xf>
    <xf numFmtId="0" fontId="28" fillId="33" borderId="20" applyAlignment="1" pivotButton="0" quotePrefix="0" xfId="0">
      <alignment vertical="center" wrapText="1"/>
    </xf>
    <xf numFmtId="165" fontId="28" fillId="33" borderId="2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2" pivotButton="0" quotePrefix="0" xfId="0"/>
    <xf numFmtId="0" fontId="13" fillId="0" borderId="1" applyAlignment="1" pivotButton="0" quotePrefix="0" xfId="0">
      <alignment horizontal="left" vertical="center"/>
    </xf>
    <xf numFmtId="0" fontId="14" fillId="7" borderId="1" applyAlignment="1" pivotButton="0" quotePrefix="0" xfId="0">
      <alignment horizontal="center"/>
    </xf>
    <xf numFmtId="0" fontId="0" fillId="0" borderId="22" pivotButton="0" quotePrefix="0" xfId="0"/>
    <xf numFmtId="0" fontId="0" fillId="0" borderId="25" pivotButton="0" quotePrefix="0" xfId="0"/>
    <xf numFmtId="0" fontId="0" fillId="0" borderId="2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38"/>
  <sheetViews>
    <sheetView workbookViewId="0">
      <selection activeCell="A1" sqref="A1"/>
    </sheetView>
  </sheetViews>
  <sheetFormatPr baseColWidth="10" defaultColWidth="12.5703125" defaultRowHeight="15" customHeight="1"/>
  <cols>
    <col width="12.5703125" customWidth="1" style="77" min="1" max="3"/>
    <col width="74.28515625" customWidth="1" style="77" min="4" max="4"/>
    <col width="15.5703125" customWidth="1" style="77" min="5" max="5"/>
    <col width="12.5703125" customWidth="1" style="77" min="6" max="6"/>
  </cols>
  <sheetData>
    <row r="1" ht="15.75" customHeight="1" s="77">
      <c r="A1" s="137" t="inlineStr">
        <is>
          <t>Estimation en jours</t>
        </is>
      </c>
      <c r="C1" s="3" t="n"/>
      <c r="D1" s="3" t="n"/>
      <c r="E1" s="3" t="n"/>
    </row>
    <row r="2" ht="15.75" customHeight="1" s="77">
      <c r="A2" s="21" t="n"/>
      <c r="B2" s="138" t="n"/>
      <c r="C2" s="139" t="n"/>
      <c r="D2" s="6" t="inlineStr">
        <is>
          <t>Tâches</t>
        </is>
      </c>
      <c r="E2" s="6" t="inlineStr">
        <is>
          <t>Estimation en jours</t>
        </is>
      </c>
    </row>
    <row r="3" ht="15.75" customHeight="1" s="77">
      <c r="A3" s="28" t="inlineStr">
        <is>
          <t>Préparation</t>
        </is>
      </c>
      <c r="B3" s="140" t="n"/>
      <c r="C3" s="141" t="n"/>
      <c r="D3" s="10" t="inlineStr">
        <is>
          <t>Prise en main du projet</t>
        </is>
      </c>
      <c r="E3" s="12" t="n">
        <v>1</v>
      </c>
    </row>
    <row r="4" ht="15.75" customHeight="1" s="77">
      <c r="A4" s="142" t="n"/>
      <c r="C4" s="143" t="n"/>
      <c r="D4" s="10" t="inlineStr">
        <is>
          <t xml:space="preserve">Apprentissage Nouvelles technologies </t>
        </is>
      </c>
      <c r="E4" s="122" t="n">
        <v>4</v>
      </c>
    </row>
    <row r="5" ht="15.75" customHeight="1" s="77">
      <c r="A5" s="142" t="n"/>
      <c r="C5" s="143" t="n"/>
      <c r="D5" s="10" t="inlineStr">
        <is>
          <t>Installation des environnements</t>
        </is>
      </c>
      <c r="E5" s="12" t="n">
        <v>3</v>
      </c>
    </row>
    <row r="6" ht="15.75" customHeight="1" s="77">
      <c r="A6" s="142" t="n"/>
      <c r="C6" s="143" t="n"/>
      <c r="D6" s="10" t="inlineStr">
        <is>
          <t xml:space="preserve">Analyse des besoins de la Direction Stratégie </t>
        </is>
      </c>
      <c r="E6" s="12" t="n">
        <v>2</v>
      </c>
    </row>
    <row r="7" ht="15.75" customHeight="1" s="77">
      <c r="A7" s="142" t="n"/>
      <c r="C7" s="143" t="n"/>
      <c r="D7" s="17" t="inlineStr">
        <is>
          <t>Planification des fonctionnalités du module</t>
        </is>
      </c>
      <c r="E7" s="12" t="n">
        <v>2</v>
      </c>
    </row>
    <row r="8" ht="15.75" customHeight="1" s="77">
      <c r="A8" s="144" t="n"/>
      <c r="B8" s="145" t="n"/>
      <c r="C8" s="146" t="n"/>
      <c r="D8" s="20" t="inlineStr">
        <is>
          <t>Sous Total</t>
        </is>
      </c>
      <c r="E8" s="18">
        <f>SUM(E3:E7)</f>
        <v/>
      </c>
    </row>
    <row r="9" ht="15.75" customHeight="1" s="77">
      <c r="A9" s="28" t="inlineStr">
        <is>
          <t xml:space="preserve">Design </t>
        </is>
      </c>
      <c r="B9" s="140" t="n"/>
      <c r="C9" s="141" t="n"/>
      <c r="D9" s="10" t="inlineStr">
        <is>
          <t xml:space="preserve">Conception des maquettes </t>
        </is>
      </c>
      <c r="E9" s="12" t="n">
        <v>4</v>
      </c>
    </row>
    <row r="10" ht="15.75" customHeight="1" s="77">
      <c r="A10" s="142" t="n"/>
      <c r="C10" s="143" t="n"/>
      <c r="D10" s="17" t="inlineStr">
        <is>
          <t>Modification des maquettes UI/UX</t>
        </is>
      </c>
      <c r="E10" s="12" t="n">
        <v>3</v>
      </c>
    </row>
    <row r="11" ht="15.75" customHeight="1" s="77">
      <c r="A11" s="142" t="n"/>
      <c r="C11" s="143" t="n"/>
      <c r="D11" s="10" t="inlineStr">
        <is>
          <t>Mise en place du site sur Wix</t>
        </is>
      </c>
      <c r="E11" s="12" t="n">
        <v>2</v>
      </c>
    </row>
    <row r="12" ht="15.75" customHeight="1" s="77">
      <c r="A12" s="142" t="n"/>
      <c r="C12" s="143" t="n"/>
      <c r="D12" s="10" t="inlineStr">
        <is>
          <t xml:space="preserve">Modification et attente de validation </t>
        </is>
      </c>
      <c r="E12" s="18" t="n">
        <v>3</v>
      </c>
    </row>
    <row r="13" ht="15.75" customHeight="1" s="77">
      <c r="A13" s="142" t="n"/>
      <c r="C13" s="143" t="n"/>
      <c r="D13" s="10" t="inlineStr">
        <is>
          <t>Vérifications de performance et adaptabilité mobile</t>
        </is>
      </c>
      <c r="E13" s="18" t="n">
        <v>3</v>
      </c>
    </row>
    <row r="14" ht="15.75" customHeight="1" s="77">
      <c r="A14" s="144" t="n"/>
      <c r="B14" s="145" t="n"/>
      <c r="C14" s="146" t="n"/>
      <c r="D14" s="20" t="inlineStr">
        <is>
          <t>Sous Total</t>
        </is>
      </c>
      <c r="E14" s="18">
        <f>SUM(E9:E13)</f>
        <v/>
      </c>
    </row>
    <row r="15" ht="15.75" customHeight="1" s="77">
      <c r="A15" s="28" t="inlineStr">
        <is>
          <t>Développement</t>
        </is>
      </c>
      <c r="B15" s="140" t="n"/>
      <c r="C15" s="141" t="n"/>
      <c r="D15" s="16" t="inlineStr">
        <is>
          <t xml:space="preserve">Développement de la gestion des contrôles qualité </t>
        </is>
      </c>
      <c r="E15" s="18">
        <f>SUM(E16:E20)</f>
        <v/>
      </c>
    </row>
    <row r="16" ht="15.75" customHeight="1" s="77">
      <c r="A16" s="142" t="n"/>
      <c r="C16" s="143" t="n"/>
      <c r="D16" s="17" t="inlineStr">
        <is>
          <t>CRUD pour les deux types de contrôles (supports &amp; mobiles)</t>
        </is>
      </c>
      <c r="E16" s="12" t="n">
        <v>4</v>
      </c>
    </row>
    <row r="17" ht="15.75" customHeight="1" s="77">
      <c r="A17" s="142" t="n"/>
      <c r="C17" s="143" t="n"/>
      <c r="D17" s="17" t="inlineStr">
        <is>
          <t xml:space="preserve">Création de différentes pages selon les types de contrôles </t>
        </is>
      </c>
      <c r="E17" s="12" t="n">
        <v>2</v>
      </c>
    </row>
    <row r="18" ht="15.75" customHeight="1" s="77">
      <c r="A18" s="142" t="n"/>
      <c r="C18" s="143" t="n"/>
      <c r="D18" s="17" t="inlineStr">
        <is>
          <t>Champs spécifiques selon le type : numéro de bus, état de visibilité mobile, remarque, etc.</t>
        </is>
      </c>
      <c r="E18" s="12" t="n">
        <v>2</v>
      </c>
    </row>
    <row r="19" ht="15.75" customHeight="1" s="77">
      <c r="A19" s="142" t="n"/>
      <c r="C19" s="143" t="n"/>
      <c r="D19" s="17" t="inlineStr">
        <is>
          <t>Catalogage des problèmes rencontrés et solutions proposées</t>
        </is>
      </c>
      <c r="E19" s="12" t="n">
        <v>1</v>
      </c>
    </row>
    <row r="20" ht="15.75" customHeight="1" s="77">
      <c r="A20" s="142" t="n"/>
      <c r="C20" s="143" t="n"/>
      <c r="D20" s="17" t="inlineStr">
        <is>
          <t xml:space="preserve">Tests et modifications selon les besoins des fonctionnalités </t>
        </is>
      </c>
      <c r="E20" s="12" t="n">
        <v>3</v>
      </c>
    </row>
    <row r="21" ht="15.75" customHeight="1" s="77">
      <c r="A21" s="142" t="n"/>
      <c r="C21" s="143" t="n"/>
      <c r="D21" s="27" t="inlineStr">
        <is>
          <t>Mise en place du tableau de bord</t>
        </is>
      </c>
      <c r="E21" s="18">
        <f>SUM(E22:E24)</f>
        <v/>
      </c>
    </row>
    <row r="22" ht="15.75" customHeight="1" s="77">
      <c r="A22" s="142" t="n"/>
      <c r="C22" s="143" t="n"/>
      <c r="D22" s="17" t="inlineStr">
        <is>
          <t>Développement des graphiques/statistiques</t>
        </is>
      </c>
      <c r="E22" s="12" t="n">
        <v>2</v>
      </c>
    </row>
    <row r="23" ht="15.75" customHeight="1" s="77">
      <c r="A23" s="142" t="n"/>
      <c r="C23" s="143" t="n"/>
      <c r="D23" s="17" t="inlineStr">
        <is>
          <t>Configuration des filtres et vues analytiques</t>
        </is>
      </c>
      <c r="E23" s="12" t="n">
        <v>1</v>
      </c>
    </row>
    <row r="24" ht="15.75" customHeight="1" s="77">
      <c r="A24" s="142" t="n"/>
      <c r="C24" s="143" t="n"/>
      <c r="D24" s="17" t="inlineStr">
        <is>
          <t>Mise en place des rapports analytiques personnalisés</t>
        </is>
      </c>
      <c r="E24" s="12" t="n">
        <v>1</v>
      </c>
    </row>
    <row r="25" ht="15.75" customHeight="1" s="77">
      <c r="A25" s="142" t="n"/>
      <c r="C25" s="143" t="n"/>
      <c r="D25" s="27" t="inlineStr">
        <is>
          <t>Configuration des droits d'accès</t>
        </is>
      </c>
      <c r="E25" s="18" t="n">
        <v>0.5</v>
      </c>
    </row>
    <row r="26" ht="15.75" customHeight="1" s="77">
      <c r="A26" s="142" t="n"/>
      <c r="C26" s="143" t="n"/>
      <c r="D26" s="17" t="inlineStr">
        <is>
          <t>Accès complets à tous les utilisateurs internes d’Odoo</t>
        </is>
      </c>
      <c r="E26" s="21" t="n"/>
    </row>
    <row r="27" ht="15.75" customHeight="1" s="77">
      <c r="A27" s="142" t="n"/>
      <c r="C27" s="143" t="n"/>
      <c r="D27" s="27" t="inlineStr">
        <is>
          <t>Analyse de la structure du contenu</t>
        </is>
      </c>
      <c r="E27" s="18" t="n">
        <v>1</v>
      </c>
    </row>
    <row r="28" ht="15.75" customHeight="1" s="77">
      <c r="A28" s="142" t="n"/>
      <c r="C28" s="143" t="n"/>
      <c r="D28" s="27" t="inlineStr">
        <is>
          <t>Organisation du contenu pour une meilleure navigation</t>
        </is>
      </c>
      <c r="E28" s="18" t="n">
        <v>2</v>
      </c>
    </row>
    <row r="29" ht="15.75" customHeight="1" s="77">
      <c r="A29" s="144" t="n"/>
      <c r="B29" s="145" t="n"/>
      <c r="C29" s="146" t="n"/>
      <c r="D29" s="20" t="inlineStr">
        <is>
          <t>Sous Total</t>
        </is>
      </c>
      <c r="E29" s="18">
        <f>SUM(E15+E21+E25+E27+E28)</f>
        <v/>
      </c>
    </row>
    <row r="30" ht="15.75" customHeight="1" s="77">
      <c r="A30" s="28" t="inlineStr">
        <is>
          <t>Tests</t>
        </is>
      </c>
      <c r="B30" s="138" t="n"/>
      <c r="C30" s="139" t="n"/>
      <c r="D30" s="10" t="inlineStr">
        <is>
          <t>Tests et corrections</t>
        </is>
      </c>
      <c r="E30" s="12" t="n">
        <v>2</v>
      </c>
    </row>
    <row r="31" ht="15.75" customHeight="1" s="77">
      <c r="A31" s="147" t="n"/>
      <c r="B31" s="138" t="n"/>
      <c r="C31" s="139" t="n"/>
      <c r="D31" s="10" t="inlineStr">
        <is>
          <t>Formation de la Direction Stratégie</t>
        </is>
      </c>
      <c r="E31" s="12" t="n">
        <v>1.5</v>
      </c>
    </row>
    <row r="32" ht="15.75" customHeight="1" s="77">
      <c r="A32" s="28" t="inlineStr">
        <is>
          <t>Gestion de projet</t>
        </is>
      </c>
      <c r="B32" s="138" t="n"/>
      <c r="C32" s="139" t="n"/>
      <c r="D32" s="10" t="inlineStr">
        <is>
          <t>Suivi et coordination du projet</t>
        </is>
      </c>
      <c r="E32" s="12" t="n">
        <v>2</v>
      </c>
    </row>
    <row r="33" ht="15.75" customHeight="1" s="77">
      <c r="A33" s="28" t="inlineStr">
        <is>
          <t xml:space="preserve">Autres projets </t>
        </is>
      </c>
      <c r="B33" s="140" t="n"/>
      <c r="C33" s="141" t="n"/>
      <c r="D33" s="20" t="inlineStr">
        <is>
          <t>Sous Total</t>
        </is>
      </c>
      <c r="E33" s="18">
        <f>SUM(E34:E37)</f>
        <v/>
      </c>
    </row>
    <row r="34" ht="15.75" customHeight="1" s="77">
      <c r="A34" s="142" t="n"/>
      <c r="C34" s="143" t="n"/>
      <c r="D34" s="10" t="inlineStr">
        <is>
          <t xml:space="preserve">Simulations sur les supports </t>
        </is>
      </c>
      <c r="E34" s="12" t="n">
        <v>2</v>
      </c>
    </row>
    <row r="35" ht="15.75" customHeight="1" s="77">
      <c r="A35" s="142" t="n"/>
      <c r="C35" s="143" t="n"/>
      <c r="D35" s="10" t="inlineStr">
        <is>
          <t xml:space="preserve">Visite des sites de l'entreprise pour rendre un rapport qualité </t>
        </is>
      </c>
      <c r="E35" s="12" t="n">
        <v>2</v>
      </c>
    </row>
    <row r="36" ht="15.75" customHeight="1" s="77">
      <c r="A36" s="142" t="n"/>
      <c r="C36" s="143" t="n"/>
      <c r="D36" s="10" t="inlineStr">
        <is>
          <t xml:space="preserve">Assistance en communication (interne et externe) </t>
        </is>
      </c>
      <c r="E36" s="12" t="n">
        <v>6</v>
      </c>
    </row>
    <row r="37" ht="15.75" customHeight="1" s="77">
      <c r="A37" s="144" t="n"/>
      <c r="B37" s="145" t="n"/>
      <c r="C37" s="146" t="n"/>
      <c r="D37" s="10" t="inlineStr">
        <is>
          <t xml:space="preserve">Montages vidéos </t>
        </is>
      </c>
      <c r="E37" s="12" t="n">
        <v>3</v>
      </c>
    </row>
    <row r="38" ht="15.75" customHeight="1" s="77">
      <c r="A38" s="21" t="n"/>
      <c r="B38" s="138" t="n"/>
      <c r="C38" s="139" t="n"/>
      <c r="D38" s="20" t="inlineStr">
        <is>
          <t>Total</t>
        </is>
      </c>
      <c r="E38" s="18">
        <f>SUM(E30:E32)+E29+E14+E8+E33</f>
        <v/>
      </c>
    </row>
    <row r="39" ht="15.75" customHeight="1" s="77"/>
    <row r="40" ht="15.75" customHeight="1" s="77"/>
    <row r="41" ht="15.75" customHeight="1" s="77"/>
    <row r="42" ht="15.75" customHeight="1" s="77"/>
    <row r="43" ht="15.75" customHeight="1" s="77"/>
    <row r="44" ht="15.75" customHeight="1" s="77"/>
    <row r="45" ht="15.75" customHeight="1" s="77"/>
    <row r="46" ht="15.75" customHeight="1" s="77"/>
    <row r="47" ht="15.75" customHeight="1" s="77"/>
    <row r="48" ht="15.75" customHeight="1" s="77"/>
    <row r="49" ht="15.75" customHeight="1" s="77"/>
    <row r="50" ht="15.75" customHeight="1" s="77"/>
    <row r="51" ht="15.75" customHeight="1" s="77"/>
    <row r="52" ht="15.75" customHeight="1" s="77"/>
    <row r="53" ht="15.75" customHeight="1" s="77"/>
    <row r="54" ht="15.75" customHeight="1" s="77"/>
    <row r="55" ht="15.75" customHeight="1" s="77"/>
    <row r="56" ht="15.75" customHeight="1" s="77"/>
    <row r="57" ht="15.75" customHeight="1" s="77"/>
    <row r="58" ht="15.75" customHeight="1" s="77"/>
    <row r="59" ht="15.75" customHeight="1" s="77"/>
    <row r="60" ht="15.75" customHeight="1" s="77"/>
    <row r="61" ht="15.75" customHeight="1" s="77"/>
    <row r="62" ht="15.75" customHeight="1" s="77"/>
    <row r="63" ht="15.75" customHeight="1" s="77"/>
    <row r="64" ht="15.75" customHeight="1" s="77"/>
    <row r="65" ht="15.75" customHeight="1" s="77"/>
    <row r="66" ht="15.75" customHeight="1" s="77"/>
    <row r="67" ht="15.75" customHeight="1" s="77"/>
    <row r="68" ht="15.75" customHeight="1" s="77"/>
    <row r="69" ht="15.75" customHeight="1" s="77"/>
    <row r="70" ht="15.75" customHeight="1" s="77"/>
    <row r="71" ht="15.75" customHeight="1" s="77"/>
    <row r="72" ht="15.75" customHeight="1" s="77"/>
    <row r="73" ht="15.75" customHeight="1" s="77"/>
    <row r="74" ht="15.75" customHeight="1" s="77"/>
    <row r="75" ht="15.75" customHeight="1" s="77"/>
    <row r="76" ht="15.75" customHeight="1" s="77"/>
    <row r="77" ht="15.75" customHeight="1" s="77"/>
    <row r="78" ht="15.75" customHeight="1" s="77"/>
    <row r="79" ht="15.75" customHeight="1" s="77"/>
    <row r="80" ht="15.75" customHeight="1" s="77"/>
    <row r="81" ht="15.75" customHeight="1" s="77"/>
    <row r="82" ht="15.75" customHeight="1" s="77"/>
    <row r="83" ht="15.75" customHeight="1" s="77"/>
    <row r="84" ht="15.75" customHeight="1" s="77"/>
    <row r="85" ht="15.75" customHeight="1" s="77"/>
    <row r="86" ht="15.75" customHeight="1" s="77"/>
    <row r="87" ht="15.75" customHeight="1" s="77"/>
    <row r="88" ht="15.75" customHeight="1" s="77"/>
    <row r="89" ht="15.75" customHeight="1" s="77"/>
    <row r="90" ht="15.75" customHeight="1" s="77"/>
    <row r="91" ht="15.75" customHeight="1" s="77"/>
    <row r="92" ht="15.75" customHeight="1" s="77"/>
    <row r="93" ht="15.75" customHeight="1" s="77"/>
    <row r="94" ht="15.75" customHeight="1" s="77"/>
    <row r="95" ht="15.75" customHeight="1" s="77"/>
    <row r="96" ht="15.75" customHeight="1" s="77"/>
    <row r="97" ht="15.75" customHeight="1" s="77"/>
    <row r="98" ht="15.75" customHeight="1" s="77"/>
    <row r="99" ht="15.75" customHeight="1" s="77"/>
    <row r="100" ht="15.75" customHeight="1" s="77"/>
    <row r="101" ht="15.75" customHeight="1" s="77"/>
    <row r="102" ht="15.75" customHeight="1" s="77"/>
    <row r="103" ht="15.75" customHeight="1" s="77"/>
    <row r="104" ht="15.75" customHeight="1" s="77"/>
    <row r="105" ht="15.75" customHeight="1" s="77"/>
    <row r="106" ht="15.75" customHeight="1" s="77"/>
    <row r="107" ht="15.75" customHeight="1" s="77"/>
    <row r="108" ht="15.75" customHeight="1" s="77"/>
    <row r="109" ht="15.75" customHeight="1" s="77"/>
    <row r="110" ht="15.75" customHeight="1" s="77"/>
    <row r="111" ht="15.75" customHeight="1" s="77"/>
    <row r="112" ht="15.75" customHeight="1" s="77"/>
    <row r="113" ht="15.75" customHeight="1" s="77"/>
    <row r="114" ht="15.75" customHeight="1" s="77"/>
    <row r="115" ht="15.75" customHeight="1" s="77"/>
    <row r="116" ht="15.75" customHeight="1" s="77"/>
    <row r="117" ht="15.75" customHeight="1" s="77"/>
    <row r="118" ht="15.75" customHeight="1" s="77"/>
    <row r="119" ht="15.75" customHeight="1" s="77"/>
    <row r="120" ht="15.75" customHeight="1" s="77"/>
    <row r="121" ht="15.75" customHeight="1" s="77"/>
    <row r="122" ht="15.75" customHeight="1" s="77"/>
    <row r="123" ht="15.75" customHeight="1" s="77"/>
    <row r="124" ht="15.75" customHeight="1" s="77"/>
    <row r="125" ht="15.75" customHeight="1" s="77"/>
    <row r="126" ht="15.75" customHeight="1" s="77"/>
    <row r="127" ht="15.75" customHeight="1" s="77"/>
    <row r="128" ht="15.75" customHeight="1" s="77"/>
    <row r="129" ht="15.75" customHeight="1" s="77"/>
    <row r="130" ht="15.75" customHeight="1" s="77"/>
    <row r="131" ht="15.75" customHeight="1" s="77"/>
    <row r="132" ht="15.75" customHeight="1" s="77"/>
    <row r="133" ht="15.75" customHeight="1" s="77"/>
    <row r="134" ht="15.75" customHeight="1" s="77"/>
    <row r="135" ht="15.75" customHeight="1" s="77"/>
    <row r="136" ht="15.75" customHeight="1" s="77"/>
    <row r="137" ht="15.75" customHeight="1" s="77"/>
    <row r="138" ht="15.75" customHeight="1" s="77"/>
    <row r="139" ht="15.75" customHeight="1" s="77"/>
    <row r="140" ht="15.75" customHeight="1" s="77"/>
    <row r="141" ht="15.75" customHeight="1" s="77"/>
    <row r="142" ht="15.75" customHeight="1" s="77"/>
    <row r="143" ht="15.75" customHeight="1" s="77"/>
    <row r="144" ht="15.75" customHeight="1" s="77"/>
    <row r="145" ht="15.75" customHeight="1" s="77"/>
    <row r="146" ht="15.75" customHeight="1" s="77"/>
    <row r="147" ht="15.75" customHeight="1" s="77"/>
    <row r="148" ht="15.75" customHeight="1" s="77"/>
    <row r="149" ht="15.75" customHeight="1" s="77"/>
    <row r="150" ht="15.75" customHeight="1" s="77"/>
    <row r="151" ht="15.75" customHeight="1" s="77"/>
    <row r="152" ht="15.75" customHeight="1" s="77"/>
    <row r="153" ht="15.75" customHeight="1" s="77"/>
    <row r="154" ht="15.75" customHeight="1" s="77"/>
    <row r="155" ht="15.75" customHeight="1" s="77"/>
    <row r="156" ht="15.75" customHeight="1" s="77"/>
    <row r="157" ht="15.75" customHeight="1" s="77"/>
    <row r="158" ht="15.75" customHeight="1" s="77"/>
    <row r="159" ht="15.75" customHeight="1" s="77"/>
    <row r="160" ht="15.75" customHeight="1" s="77"/>
    <row r="161" ht="15.75" customHeight="1" s="77"/>
    <row r="162" ht="15.75" customHeight="1" s="77"/>
    <row r="163" ht="15.75" customHeight="1" s="77"/>
    <row r="164" ht="15.75" customHeight="1" s="77"/>
    <row r="165" ht="15.75" customHeight="1" s="77"/>
    <row r="166" ht="15.75" customHeight="1" s="77"/>
    <row r="167" ht="15.75" customHeight="1" s="77"/>
    <row r="168" ht="15.75" customHeight="1" s="77"/>
    <row r="169" ht="15.75" customHeight="1" s="77"/>
    <row r="170" ht="15.75" customHeight="1" s="77"/>
    <row r="171" ht="15.75" customHeight="1" s="77"/>
    <row r="172" ht="15.75" customHeight="1" s="77"/>
    <row r="173" ht="15.75" customHeight="1" s="77"/>
    <row r="174" ht="15.75" customHeight="1" s="77"/>
    <row r="175" ht="15.75" customHeight="1" s="77"/>
    <row r="176" ht="15.75" customHeight="1" s="77"/>
    <row r="177" ht="15.75" customHeight="1" s="77"/>
    <row r="178" ht="15.75" customHeight="1" s="77"/>
    <row r="179" ht="15.75" customHeight="1" s="77"/>
    <row r="180" ht="15.75" customHeight="1" s="77"/>
    <row r="181" ht="15.75" customHeight="1" s="77"/>
    <row r="182" ht="15.75" customHeight="1" s="77"/>
    <row r="183" ht="15.75" customHeight="1" s="77"/>
    <row r="184" ht="15.75" customHeight="1" s="77"/>
    <row r="185" ht="15.75" customHeight="1" s="77"/>
    <row r="186" ht="15.75" customHeight="1" s="77"/>
    <row r="187" ht="15.75" customHeight="1" s="77"/>
    <row r="188" ht="15.75" customHeight="1" s="77"/>
    <row r="189" ht="15.75" customHeight="1" s="77"/>
    <row r="190" ht="15.75" customHeight="1" s="77"/>
    <row r="191" ht="15.75" customHeight="1" s="77"/>
    <row r="192" ht="15.75" customHeight="1" s="77"/>
    <row r="193" ht="15.75" customHeight="1" s="77"/>
    <row r="194" ht="15.75" customHeight="1" s="77"/>
    <row r="195" ht="15.75" customHeight="1" s="77"/>
    <row r="196" ht="15.75" customHeight="1" s="77"/>
    <row r="197" ht="15.75" customHeight="1" s="77"/>
    <row r="198" ht="15.75" customHeight="1" s="77"/>
    <row r="199" ht="15.75" customHeight="1" s="77"/>
    <row r="200" ht="15.75" customHeight="1" s="77"/>
    <row r="201" ht="15.75" customHeight="1" s="77"/>
    <row r="202" ht="15.75" customHeight="1" s="77"/>
    <row r="203" ht="15.75" customHeight="1" s="77"/>
    <row r="204" ht="15.75" customHeight="1" s="77"/>
    <row r="205" ht="15.75" customHeight="1" s="77"/>
    <row r="206" ht="15.75" customHeight="1" s="77"/>
    <row r="207" ht="15.75" customHeight="1" s="77"/>
    <row r="208" ht="15.75" customHeight="1" s="77"/>
    <row r="209" ht="15.75" customHeight="1" s="77"/>
    <row r="210" ht="15.75" customHeight="1" s="77"/>
    <row r="211" ht="15.75" customHeight="1" s="77"/>
    <row r="212" ht="15.75" customHeight="1" s="77"/>
    <row r="213" ht="15.75" customHeight="1" s="77"/>
    <row r="214" ht="15.75" customHeight="1" s="77"/>
    <row r="215" ht="15.75" customHeight="1" s="77"/>
    <row r="216" ht="15.75" customHeight="1" s="77"/>
    <row r="217" ht="15.75" customHeight="1" s="77"/>
    <row r="218" ht="15.75" customHeight="1" s="77"/>
    <row r="219" ht="15.75" customHeight="1" s="77"/>
    <row r="220" ht="15.75" customHeight="1" s="77"/>
    <row r="221" ht="15.75" customHeight="1" s="77"/>
    <row r="222" ht="15.75" customHeight="1" s="77"/>
    <row r="223" ht="15.75" customHeight="1" s="77"/>
    <row r="224" ht="15.75" customHeight="1" s="77"/>
    <row r="225" ht="15.75" customHeight="1" s="77"/>
    <row r="226" ht="15.75" customHeight="1" s="77"/>
    <row r="227" ht="15.75" customHeight="1" s="77"/>
    <row r="228" ht="15.75" customHeight="1" s="77"/>
    <row r="229" ht="15.75" customHeight="1" s="77"/>
    <row r="230" ht="15.75" customHeight="1" s="77"/>
    <row r="231" ht="15.75" customHeight="1" s="77"/>
    <row r="232" ht="15.75" customHeight="1" s="77"/>
    <row r="233" ht="15.75" customHeight="1" s="77"/>
    <row r="234" ht="15.75" customHeight="1" s="77"/>
    <row r="235" ht="15.75" customHeight="1" s="77"/>
    <row r="236" ht="15.75" customHeight="1" s="77"/>
    <row r="237" ht="15.75" customHeight="1" s="77"/>
    <row r="238" ht="15.75" customHeight="1" s="77"/>
    <row r="239" ht="15.75" customHeight="1" s="77"/>
    <row r="240" ht="15.75" customHeight="1" s="77"/>
    <row r="241" ht="15.75" customHeight="1" s="77"/>
    <row r="242" ht="15.75" customHeight="1" s="77"/>
    <row r="243" ht="15.75" customHeight="1" s="77"/>
    <row r="244" ht="15.75" customHeight="1" s="77"/>
    <row r="245" ht="15.75" customHeight="1" s="77"/>
    <row r="246" ht="15.75" customHeight="1" s="77"/>
    <row r="247" ht="15.75" customHeight="1" s="77"/>
    <row r="248" ht="15.75" customHeight="1" s="77"/>
    <row r="249" ht="15.75" customHeight="1" s="77"/>
    <row r="250" ht="15.75" customHeight="1" s="77"/>
    <row r="251" ht="15.75" customHeight="1" s="77"/>
    <row r="252" ht="15.75" customHeight="1" s="77"/>
    <row r="253" ht="15.75" customHeight="1" s="77"/>
    <row r="254" ht="15.75" customHeight="1" s="77"/>
    <row r="255" ht="15.75" customHeight="1" s="77"/>
    <row r="256" ht="15.75" customHeight="1" s="77"/>
    <row r="257" ht="15.75" customHeight="1" s="77"/>
    <row r="258" ht="15.75" customHeight="1" s="77"/>
    <row r="259" ht="15.75" customHeight="1" s="77"/>
    <row r="260" ht="15.75" customHeight="1" s="77"/>
    <row r="261" ht="15.75" customHeight="1" s="77"/>
    <row r="262" ht="15.75" customHeight="1" s="77"/>
    <row r="263" ht="15.75" customHeight="1" s="77"/>
    <row r="264" ht="15.75" customHeight="1" s="77"/>
    <row r="265" ht="15.75" customHeight="1" s="77"/>
    <row r="266" ht="15.75" customHeight="1" s="77"/>
    <row r="267" ht="15.75" customHeight="1" s="77"/>
    <row r="268" ht="15.75" customHeight="1" s="77"/>
    <row r="269" ht="15.75" customHeight="1" s="77"/>
    <row r="270" ht="15.75" customHeight="1" s="77"/>
    <row r="271" ht="15.75" customHeight="1" s="77"/>
    <row r="272" ht="15.75" customHeight="1" s="77"/>
    <row r="273" ht="15.75" customHeight="1" s="77"/>
    <row r="274" ht="15.75" customHeight="1" s="77"/>
    <row r="275" ht="15.75" customHeight="1" s="77"/>
    <row r="276" ht="15.75" customHeight="1" s="77"/>
    <row r="277" ht="15.75" customHeight="1" s="77"/>
    <row r="278" ht="15.75" customHeight="1" s="77"/>
    <row r="279" ht="15.75" customHeight="1" s="77"/>
    <row r="280" ht="15.75" customHeight="1" s="77"/>
    <row r="281" ht="15.75" customHeight="1" s="77"/>
    <row r="282" ht="15.75" customHeight="1" s="77"/>
    <row r="283" ht="15.75" customHeight="1" s="77"/>
    <row r="284" ht="15.75" customHeight="1" s="77"/>
    <row r="285" ht="15.75" customHeight="1" s="77"/>
    <row r="286" ht="15.75" customHeight="1" s="77"/>
    <row r="287" ht="15.75" customHeight="1" s="77"/>
    <row r="288" ht="15.75" customHeight="1" s="77"/>
    <row r="289" ht="15.75" customHeight="1" s="77"/>
    <row r="290" ht="15.75" customHeight="1" s="77"/>
    <row r="291" ht="15.75" customHeight="1" s="77"/>
    <row r="292" ht="15.75" customHeight="1" s="77"/>
    <row r="293" ht="15.75" customHeight="1" s="77"/>
    <row r="294" ht="15.75" customHeight="1" s="77"/>
    <row r="295" ht="15.75" customHeight="1" s="77"/>
    <row r="296" ht="15.75" customHeight="1" s="77"/>
    <row r="297" ht="15.75" customHeight="1" s="77"/>
    <row r="298" ht="15.75" customHeight="1" s="77"/>
    <row r="299" ht="15.75" customHeight="1" s="77"/>
    <row r="300" ht="15.75" customHeight="1" s="77"/>
    <row r="301" ht="15.75" customHeight="1" s="77"/>
    <row r="302" ht="15.75" customHeight="1" s="77"/>
    <row r="303" ht="15.75" customHeight="1" s="77"/>
    <row r="304" ht="15.75" customHeight="1" s="77"/>
    <row r="305" ht="15.75" customHeight="1" s="77"/>
    <row r="306" ht="15.75" customHeight="1" s="77"/>
    <row r="307" ht="15.75" customHeight="1" s="77"/>
    <row r="308" ht="15.75" customHeight="1" s="77"/>
    <row r="309" ht="15.75" customHeight="1" s="77"/>
    <row r="310" ht="15.75" customHeight="1" s="77"/>
    <row r="311" ht="15.75" customHeight="1" s="77"/>
    <row r="312" ht="15.75" customHeight="1" s="77"/>
    <row r="313" ht="15.75" customHeight="1" s="77"/>
    <row r="314" ht="15.75" customHeight="1" s="77"/>
    <row r="315" ht="15.75" customHeight="1" s="77"/>
    <row r="316" ht="15.75" customHeight="1" s="77"/>
    <row r="317" ht="15.75" customHeight="1" s="77"/>
    <row r="318" ht="15.75" customHeight="1" s="77"/>
    <row r="319" ht="15.75" customHeight="1" s="77"/>
    <row r="320" ht="15.75" customHeight="1" s="77"/>
    <row r="321" ht="15.75" customHeight="1" s="77"/>
    <row r="322" ht="15.75" customHeight="1" s="77"/>
    <row r="323" ht="15.75" customHeight="1" s="77"/>
    <row r="324" ht="15.75" customHeight="1" s="77"/>
    <row r="325" ht="15.75" customHeight="1" s="77"/>
    <row r="326" ht="15.75" customHeight="1" s="77"/>
    <row r="327" ht="15.75" customHeight="1" s="77"/>
    <row r="328" ht="15.75" customHeight="1" s="77"/>
    <row r="329" ht="15.75" customHeight="1" s="77"/>
    <row r="330" ht="15.75" customHeight="1" s="77"/>
    <row r="331" ht="15.75" customHeight="1" s="77"/>
    <row r="332" ht="15.75" customHeight="1" s="77"/>
    <row r="333" ht="15.75" customHeight="1" s="77"/>
    <row r="334" ht="15.75" customHeight="1" s="77"/>
    <row r="335" ht="15.75" customHeight="1" s="77"/>
    <row r="336" ht="15.75" customHeight="1" s="77"/>
    <row r="337" ht="15.75" customHeight="1" s="77"/>
    <row r="338" ht="15.75" customHeight="1" s="77"/>
    <row r="339" ht="15.75" customHeight="1" s="77"/>
    <row r="340" ht="15.75" customHeight="1" s="77"/>
    <row r="341" ht="15.75" customHeight="1" s="77"/>
    <row r="342" ht="15.75" customHeight="1" s="77"/>
    <row r="343" ht="15.75" customHeight="1" s="77"/>
    <row r="344" ht="15.75" customHeight="1" s="77"/>
    <row r="345" ht="15.75" customHeight="1" s="77"/>
    <row r="346" ht="15.75" customHeight="1" s="77"/>
    <row r="347" ht="15.75" customHeight="1" s="77"/>
    <row r="348" ht="15.75" customHeight="1" s="77"/>
    <row r="349" ht="15.75" customHeight="1" s="77"/>
    <row r="350" ht="15.75" customHeight="1" s="77"/>
    <row r="351" ht="15.75" customHeight="1" s="77"/>
    <row r="352" ht="15.75" customHeight="1" s="77"/>
    <row r="353" ht="15.75" customHeight="1" s="77"/>
    <row r="354" ht="15.75" customHeight="1" s="77"/>
    <row r="355" ht="15.75" customHeight="1" s="77"/>
    <row r="356" ht="15.75" customHeight="1" s="77"/>
    <row r="357" ht="15.75" customHeight="1" s="77"/>
    <row r="358" ht="15.75" customHeight="1" s="77"/>
    <row r="359" ht="15.75" customHeight="1" s="77"/>
    <row r="360" ht="15.75" customHeight="1" s="77"/>
    <row r="361" ht="15.75" customHeight="1" s="77"/>
    <row r="362" ht="15.75" customHeight="1" s="77"/>
    <row r="363" ht="15.75" customHeight="1" s="77"/>
    <row r="364" ht="15.75" customHeight="1" s="77"/>
    <row r="365" ht="15.75" customHeight="1" s="77"/>
    <row r="366" ht="15.75" customHeight="1" s="77"/>
    <row r="367" ht="15.75" customHeight="1" s="77"/>
    <row r="368" ht="15.75" customHeight="1" s="77"/>
    <row r="369" ht="15.75" customHeight="1" s="77"/>
    <row r="370" ht="15.75" customHeight="1" s="77"/>
    <row r="371" ht="15.75" customHeight="1" s="77"/>
    <row r="372" ht="15.75" customHeight="1" s="77"/>
    <row r="373" ht="15.75" customHeight="1" s="77"/>
    <row r="374" ht="15.75" customHeight="1" s="77"/>
    <row r="375" ht="15.75" customHeight="1" s="77"/>
    <row r="376" ht="15.75" customHeight="1" s="77"/>
    <row r="377" ht="15.75" customHeight="1" s="77"/>
    <row r="378" ht="15.75" customHeight="1" s="77"/>
    <row r="379" ht="15.75" customHeight="1" s="77"/>
    <row r="380" ht="15.75" customHeight="1" s="77"/>
    <row r="381" ht="15.75" customHeight="1" s="77"/>
    <row r="382" ht="15.75" customHeight="1" s="77"/>
    <row r="383" ht="15.75" customHeight="1" s="77"/>
    <row r="384" ht="15.75" customHeight="1" s="77"/>
    <row r="385" ht="15.75" customHeight="1" s="77"/>
    <row r="386" ht="15.75" customHeight="1" s="77"/>
    <row r="387" ht="15.75" customHeight="1" s="77"/>
    <row r="388" ht="15.75" customHeight="1" s="77"/>
    <row r="389" ht="15.75" customHeight="1" s="77"/>
    <row r="390" ht="15.75" customHeight="1" s="77"/>
    <row r="391" ht="15.75" customHeight="1" s="77"/>
    <row r="392" ht="15.75" customHeight="1" s="77"/>
    <row r="393" ht="15.75" customHeight="1" s="77"/>
    <row r="394" ht="15.75" customHeight="1" s="77"/>
    <row r="395" ht="15.75" customHeight="1" s="77"/>
    <row r="396" ht="15.75" customHeight="1" s="77"/>
    <row r="397" ht="15.75" customHeight="1" s="77"/>
    <row r="398" ht="15.75" customHeight="1" s="77"/>
    <row r="399" ht="15.75" customHeight="1" s="77"/>
    <row r="400" ht="15.75" customHeight="1" s="77"/>
    <row r="401" ht="15.75" customHeight="1" s="77"/>
    <row r="402" ht="15.75" customHeight="1" s="77"/>
    <row r="403" ht="15.75" customHeight="1" s="77"/>
    <row r="404" ht="15.75" customHeight="1" s="77"/>
    <row r="405" ht="15.75" customHeight="1" s="77"/>
    <row r="406" ht="15.75" customHeight="1" s="77"/>
    <row r="407" ht="15.75" customHeight="1" s="77"/>
    <row r="408" ht="15.75" customHeight="1" s="77"/>
    <row r="409" ht="15.75" customHeight="1" s="77"/>
    <row r="410" ht="15.75" customHeight="1" s="77"/>
    <row r="411" ht="15.75" customHeight="1" s="77"/>
    <row r="412" ht="15.75" customHeight="1" s="77"/>
    <row r="413" ht="15.75" customHeight="1" s="77"/>
    <row r="414" ht="15.75" customHeight="1" s="77"/>
    <row r="415" ht="15.75" customHeight="1" s="77"/>
    <row r="416" ht="15.75" customHeight="1" s="77"/>
    <row r="417" ht="15.75" customHeight="1" s="77"/>
    <row r="418" ht="15.75" customHeight="1" s="77"/>
    <row r="419" ht="15.75" customHeight="1" s="77"/>
    <row r="420" ht="15.75" customHeight="1" s="77"/>
    <row r="421" ht="15.75" customHeight="1" s="77"/>
    <row r="422" ht="15.75" customHeight="1" s="77"/>
    <row r="423" ht="15.75" customHeight="1" s="77"/>
    <row r="424" ht="15.75" customHeight="1" s="77"/>
    <row r="425" ht="15.75" customHeight="1" s="77"/>
    <row r="426" ht="15.75" customHeight="1" s="77"/>
    <row r="427" ht="15.75" customHeight="1" s="77"/>
    <row r="428" ht="15.75" customHeight="1" s="77"/>
    <row r="429" ht="15.75" customHeight="1" s="77"/>
    <row r="430" ht="15.75" customHeight="1" s="77"/>
    <row r="431" ht="15.75" customHeight="1" s="77"/>
    <row r="432" ht="15.75" customHeight="1" s="77"/>
    <row r="433" ht="15.75" customHeight="1" s="77"/>
    <row r="434" ht="15.75" customHeight="1" s="77"/>
    <row r="435" ht="15.75" customHeight="1" s="77"/>
    <row r="436" ht="15.75" customHeight="1" s="77"/>
    <row r="437" ht="15.75" customHeight="1" s="77"/>
    <row r="438" ht="15.75" customHeight="1" s="77"/>
    <row r="439" ht="15.75" customHeight="1" s="77"/>
    <row r="440" ht="15.75" customHeight="1" s="77"/>
    <row r="441" ht="15.75" customHeight="1" s="77"/>
    <row r="442" ht="15.75" customHeight="1" s="77"/>
    <row r="443" ht="15.75" customHeight="1" s="77"/>
    <row r="444" ht="15.75" customHeight="1" s="77"/>
    <row r="445" ht="15.75" customHeight="1" s="77"/>
    <row r="446" ht="15.75" customHeight="1" s="77"/>
    <row r="447" ht="15.75" customHeight="1" s="77"/>
    <row r="448" ht="15.75" customHeight="1" s="77"/>
    <row r="449" ht="15.75" customHeight="1" s="77"/>
    <row r="450" ht="15.75" customHeight="1" s="77"/>
    <row r="451" ht="15.75" customHeight="1" s="77"/>
    <row r="452" ht="15.75" customHeight="1" s="77"/>
    <row r="453" ht="15.75" customHeight="1" s="77"/>
    <row r="454" ht="15.75" customHeight="1" s="77"/>
    <row r="455" ht="15.75" customHeight="1" s="77"/>
    <row r="456" ht="15.75" customHeight="1" s="77"/>
    <row r="457" ht="15.75" customHeight="1" s="77"/>
    <row r="458" ht="15.75" customHeight="1" s="77"/>
    <row r="459" ht="15.75" customHeight="1" s="77"/>
    <row r="460" ht="15.75" customHeight="1" s="77"/>
    <row r="461" ht="15.75" customHeight="1" s="77"/>
    <row r="462" ht="15.75" customHeight="1" s="77"/>
    <row r="463" ht="15.75" customHeight="1" s="77"/>
    <row r="464" ht="15.75" customHeight="1" s="77"/>
    <row r="465" ht="15.75" customHeight="1" s="77"/>
    <row r="466" ht="15.75" customHeight="1" s="77"/>
    <row r="467" ht="15.75" customHeight="1" s="77"/>
    <row r="468" ht="15.75" customHeight="1" s="77"/>
    <row r="469" ht="15.75" customHeight="1" s="77"/>
    <row r="470" ht="15.75" customHeight="1" s="77"/>
    <row r="471" ht="15.75" customHeight="1" s="77"/>
    <row r="472" ht="15.75" customHeight="1" s="77"/>
    <row r="473" ht="15.75" customHeight="1" s="77"/>
    <row r="474" ht="15.75" customHeight="1" s="77"/>
    <row r="475" ht="15.75" customHeight="1" s="77"/>
    <row r="476" ht="15.75" customHeight="1" s="77"/>
    <row r="477" ht="15.75" customHeight="1" s="77"/>
    <row r="478" ht="15.75" customHeight="1" s="77"/>
    <row r="479" ht="15.75" customHeight="1" s="77"/>
    <row r="480" ht="15.75" customHeight="1" s="77"/>
    <row r="481" ht="15.75" customHeight="1" s="77"/>
    <row r="482" ht="15.75" customHeight="1" s="77"/>
    <row r="483" ht="15.75" customHeight="1" s="77"/>
    <row r="484" ht="15.75" customHeight="1" s="77"/>
    <row r="485" ht="15.75" customHeight="1" s="77"/>
    <row r="486" ht="15.75" customHeight="1" s="77"/>
    <row r="487" ht="15.75" customHeight="1" s="77"/>
    <row r="488" ht="15.75" customHeight="1" s="77"/>
    <row r="489" ht="15.75" customHeight="1" s="77"/>
    <row r="490" ht="15.75" customHeight="1" s="77"/>
    <row r="491" ht="15.75" customHeight="1" s="77"/>
    <row r="492" ht="15.75" customHeight="1" s="77"/>
    <row r="493" ht="15.75" customHeight="1" s="77"/>
    <row r="494" ht="15.75" customHeight="1" s="77"/>
    <row r="495" ht="15.75" customHeight="1" s="77"/>
    <row r="496" ht="15.75" customHeight="1" s="77"/>
    <row r="497" ht="15.75" customHeight="1" s="77"/>
    <row r="498" ht="15.75" customHeight="1" s="77"/>
    <row r="499" ht="15.75" customHeight="1" s="77"/>
    <row r="500" ht="15.75" customHeight="1" s="77"/>
    <row r="501" ht="15.75" customHeight="1" s="77"/>
    <row r="502" ht="15.75" customHeight="1" s="77"/>
    <row r="503" ht="15.75" customHeight="1" s="77"/>
    <row r="504" ht="15.75" customHeight="1" s="77"/>
    <row r="505" ht="15.75" customHeight="1" s="77"/>
    <row r="506" ht="15.75" customHeight="1" s="77"/>
    <row r="507" ht="15.75" customHeight="1" s="77"/>
    <row r="508" ht="15.75" customHeight="1" s="77"/>
    <row r="509" ht="15.75" customHeight="1" s="77"/>
    <row r="510" ht="15.75" customHeight="1" s="77"/>
    <row r="511" ht="15.75" customHeight="1" s="77"/>
    <row r="512" ht="15.75" customHeight="1" s="77"/>
    <row r="513" ht="15.75" customHeight="1" s="77"/>
    <row r="514" ht="15.75" customHeight="1" s="77"/>
    <row r="515" ht="15.75" customHeight="1" s="77"/>
    <row r="516" ht="15.75" customHeight="1" s="77"/>
    <row r="517" ht="15.75" customHeight="1" s="77"/>
    <row r="518" ht="15.75" customHeight="1" s="77"/>
    <row r="519" ht="15.75" customHeight="1" s="77"/>
    <row r="520" ht="15.75" customHeight="1" s="77"/>
    <row r="521" ht="15.75" customHeight="1" s="77"/>
    <row r="522" ht="15.75" customHeight="1" s="77"/>
    <row r="523" ht="15.75" customHeight="1" s="77"/>
    <row r="524" ht="15.75" customHeight="1" s="77"/>
    <row r="525" ht="15.75" customHeight="1" s="77"/>
    <row r="526" ht="15.75" customHeight="1" s="77"/>
    <row r="527" ht="15.75" customHeight="1" s="77"/>
    <row r="528" ht="15.75" customHeight="1" s="77"/>
    <row r="529" ht="15.75" customHeight="1" s="77"/>
    <row r="530" ht="15.75" customHeight="1" s="77"/>
    <row r="531" ht="15.75" customHeight="1" s="77"/>
    <row r="532" ht="15.75" customHeight="1" s="77"/>
    <row r="533" ht="15.75" customHeight="1" s="77"/>
    <row r="534" ht="15.75" customHeight="1" s="77"/>
    <row r="535" ht="15.75" customHeight="1" s="77"/>
    <row r="536" ht="15.75" customHeight="1" s="77"/>
    <row r="537" ht="15.75" customHeight="1" s="77"/>
    <row r="538" ht="15.75" customHeight="1" s="77"/>
    <row r="539" ht="15.75" customHeight="1" s="77"/>
    <row r="540" ht="15.75" customHeight="1" s="77"/>
    <row r="541" ht="15.75" customHeight="1" s="77"/>
    <row r="542" ht="15.75" customHeight="1" s="77"/>
    <row r="543" ht="15.75" customHeight="1" s="77"/>
    <row r="544" ht="15.75" customHeight="1" s="77"/>
    <row r="545" ht="15.75" customHeight="1" s="77"/>
    <row r="546" ht="15.75" customHeight="1" s="77"/>
    <row r="547" ht="15.75" customHeight="1" s="77"/>
    <row r="548" ht="15.75" customHeight="1" s="77"/>
    <row r="549" ht="15.75" customHeight="1" s="77"/>
    <row r="550" ht="15.75" customHeight="1" s="77"/>
    <row r="551" ht="15.75" customHeight="1" s="77"/>
    <row r="552" ht="15.75" customHeight="1" s="77"/>
    <row r="553" ht="15.75" customHeight="1" s="77"/>
    <row r="554" ht="15.75" customHeight="1" s="77"/>
    <row r="555" ht="15.75" customHeight="1" s="77"/>
    <row r="556" ht="15.75" customHeight="1" s="77"/>
    <row r="557" ht="15.75" customHeight="1" s="77"/>
    <row r="558" ht="15.75" customHeight="1" s="77"/>
    <row r="559" ht="15.75" customHeight="1" s="77"/>
    <row r="560" ht="15.75" customHeight="1" s="77"/>
    <row r="561" ht="15.75" customHeight="1" s="77"/>
    <row r="562" ht="15.75" customHeight="1" s="77"/>
    <row r="563" ht="15.75" customHeight="1" s="77"/>
    <row r="564" ht="15.75" customHeight="1" s="77"/>
    <row r="565" ht="15.75" customHeight="1" s="77"/>
    <row r="566" ht="15.75" customHeight="1" s="77"/>
    <row r="567" ht="15.75" customHeight="1" s="77"/>
    <row r="568" ht="15.75" customHeight="1" s="77"/>
    <row r="569" ht="15.75" customHeight="1" s="77"/>
    <row r="570" ht="15.75" customHeight="1" s="77"/>
    <row r="571" ht="15.75" customHeight="1" s="77"/>
    <row r="572" ht="15.75" customHeight="1" s="77"/>
    <row r="573" ht="15.75" customHeight="1" s="77"/>
    <row r="574" ht="15.75" customHeight="1" s="77"/>
    <row r="575" ht="15.75" customHeight="1" s="77"/>
    <row r="576" ht="15.75" customHeight="1" s="77"/>
    <row r="577" ht="15.75" customHeight="1" s="77"/>
    <row r="578" ht="15.75" customHeight="1" s="77"/>
    <row r="579" ht="15.75" customHeight="1" s="77"/>
    <row r="580" ht="15.75" customHeight="1" s="77"/>
    <row r="581" ht="15.75" customHeight="1" s="77"/>
    <row r="582" ht="15.75" customHeight="1" s="77"/>
    <row r="583" ht="15.75" customHeight="1" s="77"/>
    <row r="584" ht="15.75" customHeight="1" s="77"/>
    <row r="585" ht="15.75" customHeight="1" s="77"/>
    <row r="586" ht="15.75" customHeight="1" s="77"/>
    <row r="587" ht="15.75" customHeight="1" s="77"/>
    <row r="588" ht="15.75" customHeight="1" s="77"/>
    <row r="589" ht="15.75" customHeight="1" s="77"/>
    <row r="590" ht="15.75" customHeight="1" s="77"/>
    <row r="591" ht="15.75" customHeight="1" s="77"/>
    <row r="592" ht="15.75" customHeight="1" s="77"/>
    <row r="593" ht="15.75" customHeight="1" s="77"/>
    <row r="594" ht="15.75" customHeight="1" s="77"/>
    <row r="595" ht="15.75" customHeight="1" s="77"/>
    <row r="596" ht="15.75" customHeight="1" s="77"/>
    <row r="597" ht="15.75" customHeight="1" s="77"/>
    <row r="598" ht="15.75" customHeight="1" s="77"/>
    <row r="599" ht="15.75" customHeight="1" s="77"/>
    <row r="600" ht="15.75" customHeight="1" s="77"/>
    <row r="601" ht="15.75" customHeight="1" s="77"/>
    <row r="602" ht="15.75" customHeight="1" s="77"/>
    <row r="603" ht="15.75" customHeight="1" s="77"/>
    <row r="604" ht="15.75" customHeight="1" s="77"/>
    <row r="605" ht="15.75" customHeight="1" s="77"/>
    <row r="606" ht="15.75" customHeight="1" s="77"/>
    <row r="607" ht="15.75" customHeight="1" s="77"/>
    <row r="608" ht="15.75" customHeight="1" s="77"/>
    <row r="609" ht="15.75" customHeight="1" s="77"/>
    <row r="610" ht="15.75" customHeight="1" s="77"/>
    <row r="611" ht="15.75" customHeight="1" s="77"/>
    <row r="612" ht="15.75" customHeight="1" s="77"/>
    <row r="613" ht="15.75" customHeight="1" s="77"/>
    <row r="614" ht="15.75" customHeight="1" s="77"/>
    <row r="615" ht="15.75" customHeight="1" s="77"/>
    <row r="616" ht="15.75" customHeight="1" s="77"/>
    <row r="617" ht="15.75" customHeight="1" s="77"/>
    <row r="618" ht="15.75" customHeight="1" s="77"/>
    <row r="619" ht="15.75" customHeight="1" s="77"/>
    <row r="620" ht="15.75" customHeight="1" s="77"/>
    <row r="621" ht="15.75" customHeight="1" s="77"/>
    <row r="622" ht="15.75" customHeight="1" s="77"/>
    <row r="623" ht="15.75" customHeight="1" s="77"/>
    <row r="624" ht="15.75" customHeight="1" s="77"/>
    <row r="625" ht="15.75" customHeight="1" s="77"/>
    <row r="626" ht="15.75" customHeight="1" s="77"/>
    <row r="627" ht="15.75" customHeight="1" s="77"/>
    <row r="628" ht="15.75" customHeight="1" s="77"/>
    <row r="629" ht="15.75" customHeight="1" s="77"/>
    <row r="630" ht="15.75" customHeight="1" s="77"/>
    <row r="631" ht="15.75" customHeight="1" s="77"/>
    <row r="632" ht="15.75" customHeight="1" s="77"/>
    <row r="633" ht="15.75" customHeight="1" s="77"/>
    <row r="634" ht="15.75" customHeight="1" s="77"/>
    <row r="635" ht="15.75" customHeight="1" s="77"/>
    <row r="636" ht="15.75" customHeight="1" s="77"/>
    <row r="637" ht="15.75" customHeight="1" s="77"/>
    <row r="638" ht="15.75" customHeight="1" s="77"/>
    <row r="639" ht="15.75" customHeight="1" s="77"/>
    <row r="640" ht="15.75" customHeight="1" s="77"/>
    <row r="641" ht="15.75" customHeight="1" s="77"/>
    <row r="642" ht="15.75" customHeight="1" s="77"/>
    <row r="643" ht="15.75" customHeight="1" s="77"/>
    <row r="644" ht="15.75" customHeight="1" s="77"/>
    <row r="645" ht="15.75" customHeight="1" s="77"/>
    <row r="646" ht="15.75" customHeight="1" s="77"/>
    <row r="647" ht="15.75" customHeight="1" s="77"/>
    <row r="648" ht="15.75" customHeight="1" s="77"/>
    <row r="649" ht="15.75" customHeight="1" s="77"/>
    <row r="650" ht="15.75" customHeight="1" s="77"/>
    <row r="651" ht="15.75" customHeight="1" s="77"/>
    <row r="652" ht="15.75" customHeight="1" s="77"/>
    <row r="653" ht="15.75" customHeight="1" s="77"/>
    <row r="654" ht="15.75" customHeight="1" s="77"/>
    <row r="655" ht="15.75" customHeight="1" s="77"/>
    <row r="656" ht="15.75" customHeight="1" s="77"/>
    <row r="657" ht="15.75" customHeight="1" s="77"/>
    <row r="658" ht="15.75" customHeight="1" s="77"/>
    <row r="659" ht="15.75" customHeight="1" s="77"/>
    <row r="660" ht="15.75" customHeight="1" s="77"/>
    <row r="661" ht="15.75" customHeight="1" s="77"/>
    <row r="662" ht="15.75" customHeight="1" s="77"/>
    <row r="663" ht="15.75" customHeight="1" s="77"/>
    <row r="664" ht="15.75" customHeight="1" s="77"/>
    <row r="665" ht="15.75" customHeight="1" s="77"/>
    <row r="666" ht="15.75" customHeight="1" s="77"/>
    <row r="667" ht="15.75" customHeight="1" s="77"/>
    <row r="668" ht="15.75" customHeight="1" s="77"/>
    <row r="669" ht="15.75" customHeight="1" s="77"/>
    <row r="670" ht="15.75" customHeight="1" s="77"/>
    <row r="671" ht="15.75" customHeight="1" s="77"/>
    <row r="672" ht="15.75" customHeight="1" s="77"/>
    <row r="673" ht="15.75" customHeight="1" s="77"/>
    <row r="674" ht="15.75" customHeight="1" s="77"/>
    <row r="675" ht="15.75" customHeight="1" s="77"/>
    <row r="676" ht="15.75" customHeight="1" s="77"/>
    <row r="677" ht="15.75" customHeight="1" s="77"/>
    <row r="678" ht="15.75" customHeight="1" s="77"/>
    <row r="679" ht="15.75" customHeight="1" s="77"/>
    <row r="680" ht="15.75" customHeight="1" s="77"/>
    <row r="681" ht="15.75" customHeight="1" s="77"/>
    <row r="682" ht="15.75" customHeight="1" s="77"/>
    <row r="683" ht="15.75" customHeight="1" s="77"/>
    <row r="684" ht="15.75" customHeight="1" s="77"/>
    <row r="685" ht="15.75" customHeight="1" s="77"/>
    <row r="686" ht="15.75" customHeight="1" s="77"/>
    <row r="687" ht="15.75" customHeight="1" s="77"/>
    <row r="688" ht="15.75" customHeight="1" s="77"/>
    <row r="689" ht="15.75" customHeight="1" s="77"/>
    <row r="690" ht="15.75" customHeight="1" s="77"/>
    <row r="691" ht="15.75" customHeight="1" s="77"/>
    <row r="692" ht="15.75" customHeight="1" s="77"/>
    <row r="693" ht="15.75" customHeight="1" s="77"/>
    <row r="694" ht="15.75" customHeight="1" s="77"/>
    <row r="695" ht="15.75" customHeight="1" s="77"/>
    <row r="696" ht="15.75" customHeight="1" s="77"/>
    <row r="697" ht="15.75" customHeight="1" s="77"/>
    <row r="698" ht="15.75" customHeight="1" s="77"/>
    <row r="699" ht="15.75" customHeight="1" s="77"/>
    <row r="700" ht="15.75" customHeight="1" s="77"/>
    <row r="701" ht="15.75" customHeight="1" s="77"/>
    <row r="702" ht="15.75" customHeight="1" s="77"/>
    <row r="703" ht="15.75" customHeight="1" s="77"/>
    <row r="704" ht="15.75" customHeight="1" s="77"/>
    <row r="705" ht="15.75" customHeight="1" s="77"/>
    <row r="706" ht="15.75" customHeight="1" s="77"/>
    <row r="707" ht="15.75" customHeight="1" s="77"/>
    <row r="708" ht="15.75" customHeight="1" s="77"/>
    <row r="709" ht="15.75" customHeight="1" s="77"/>
    <row r="710" ht="15.75" customHeight="1" s="77"/>
    <row r="711" ht="15.75" customHeight="1" s="77"/>
    <row r="712" ht="15.75" customHeight="1" s="77"/>
    <row r="713" ht="15.75" customHeight="1" s="77"/>
    <row r="714" ht="15.75" customHeight="1" s="77"/>
    <row r="715" ht="15.75" customHeight="1" s="77"/>
    <row r="716" ht="15.75" customHeight="1" s="77"/>
    <row r="717" ht="15.75" customHeight="1" s="77"/>
    <row r="718" ht="15.75" customHeight="1" s="77"/>
    <row r="719" ht="15.75" customHeight="1" s="77"/>
    <row r="720" ht="15.75" customHeight="1" s="77"/>
    <row r="721" ht="15.75" customHeight="1" s="77"/>
    <row r="722" ht="15.75" customHeight="1" s="77"/>
    <row r="723" ht="15.75" customHeight="1" s="77"/>
    <row r="724" ht="15.75" customHeight="1" s="77"/>
    <row r="725" ht="15.75" customHeight="1" s="77"/>
    <row r="726" ht="15.75" customHeight="1" s="77"/>
    <row r="727" ht="15.75" customHeight="1" s="77"/>
    <row r="728" ht="15.75" customHeight="1" s="77"/>
    <row r="729" ht="15.75" customHeight="1" s="77"/>
    <row r="730" ht="15.75" customHeight="1" s="77"/>
    <row r="731" ht="15.75" customHeight="1" s="77"/>
    <row r="732" ht="15.75" customHeight="1" s="77"/>
    <row r="733" ht="15.75" customHeight="1" s="77"/>
    <row r="734" ht="15.75" customHeight="1" s="77"/>
    <row r="735" ht="15.75" customHeight="1" s="77"/>
    <row r="736" ht="15.75" customHeight="1" s="77"/>
    <row r="737" ht="15.75" customHeight="1" s="77"/>
    <row r="738" ht="15.75" customHeight="1" s="77"/>
    <row r="739" ht="15.75" customHeight="1" s="77"/>
    <row r="740" ht="15.75" customHeight="1" s="77"/>
    <row r="741" ht="15.75" customHeight="1" s="77"/>
    <row r="742" ht="15.75" customHeight="1" s="77"/>
    <row r="743" ht="15.75" customHeight="1" s="77"/>
    <row r="744" ht="15.75" customHeight="1" s="77"/>
    <row r="745" ht="15.75" customHeight="1" s="77"/>
    <row r="746" ht="15.75" customHeight="1" s="77"/>
    <row r="747" ht="15.75" customHeight="1" s="77"/>
    <row r="748" ht="15.75" customHeight="1" s="77"/>
    <row r="749" ht="15.75" customHeight="1" s="77"/>
    <row r="750" ht="15.75" customHeight="1" s="77"/>
    <row r="751" ht="15.75" customHeight="1" s="77"/>
    <row r="752" ht="15.75" customHeight="1" s="77"/>
    <row r="753" ht="15.75" customHeight="1" s="77"/>
    <row r="754" ht="15.75" customHeight="1" s="77"/>
    <row r="755" ht="15.75" customHeight="1" s="77"/>
    <row r="756" ht="15.75" customHeight="1" s="77"/>
    <row r="757" ht="15.75" customHeight="1" s="77"/>
    <row r="758" ht="15.75" customHeight="1" s="77"/>
    <row r="759" ht="15.75" customHeight="1" s="77"/>
    <row r="760" ht="15.75" customHeight="1" s="77"/>
    <row r="761" ht="15.75" customHeight="1" s="77"/>
    <row r="762" ht="15.75" customHeight="1" s="77"/>
    <row r="763" ht="15.75" customHeight="1" s="77"/>
    <row r="764" ht="15.75" customHeight="1" s="77"/>
    <row r="765" ht="15.75" customHeight="1" s="77"/>
    <row r="766" ht="15.75" customHeight="1" s="77"/>
    <row r="767" ht="15.75" customHeight="1" s="77"/>
    <row r="768" ht="15.75" customHeight="1" s="77"/>
    <row r="769" ht="15.75" customHeight="1" s="77"/>
    <row r="770" ht="15.75" customHeight="1" s="77"/>
    <row r="771" ht="15.75" customHeight="1" s="77"/>
    <row r="772" ht="15.75" customHeight="1" s="77"/>
    <row r="773" ht="15.75" customHeight="1" s="77"/>
    <row r="774" ht="15.75" customHeight="1" s="77"/>
    <row r="775" ht="15.75" customHeight="1" s="77"/>
    <row r="776" ht="15.75" customHeight="1" s="77"/>
    <row r="777" ht="15.75" customHeight="1" s="77"/>
    <row r="778" ht="15.75" customHeight="1" s="77"/>
    <row r="779" ht="15.75" customHeight="1" s="77"/>
    <row r="780" ht="15.75" customHeight="1" s="77"/>
    <row r="781" ht="15.75" customHeight="1" s="77"/>
    <row r="782" ht="15.75" customHeight="1" s="77"/>
    <row r="783" ht="15.75" customHeight="1" s="77"/>
    <row r="784" ht="15.75" customHeight="1" s="77"/>
    <row r="785" ht="15.75" customHeight="1" s="77"/>
    <row r="786" ht="15.75" customHeight="1" s="77"/>
    <row r="787" ht="15.75" customHeight="1" s="77"/>
    <row r="788" ht="15.75" customHeight="1" s="77"/>
    <row r="789" ht="15.75" customHeight="1" s="77"/>
    <row r="790" ht="15.75" customHeight="1" s="77"/>
    <row r="791" ht="15.75" customHeight="1" s="77"/>
    <row r="792" ht="15.75" customHeight="1" s="77"/>
    <row r="793" ht="15.75" customHeight="1" s="77"/>
    <row r="794" ht="15.75" customHeight="1" s="77"/>
    <row r="795" ht="15.75" customHeight="1" s="77"/>
    <row r="796" ht="15.75" customHeight="1" s="77"/>
    <row r="797" ht="15.75" customHeight="1" s="77"/>
    <row r="798" ht="15.75" customHeight="1" s="77"/>
    <row r="799" ht="15.75" customHeight="1" s="77"/>
    <row r="800" ht="15.75" customHeight="1" s="77"/>
    <row r="801" ht="15.75" customHeight="1" s="77"/>
    <row r="802" ht="15.75" customHeight="1" s="77"/>
    <row r="803" ht="15.75" customHeight="1" s="77"/>
    <row r="804" ht="15.75" customHeight="1" s="77"/>
    <row r="805" ht="15.75" customHeight="1" s="77"/>
    <row r="806" ht="15.75" customHeight="1" s="77"/>
    <row r="807" ht="15.75" customHeight="1" s="77"/>
    <row r="808" ht="15.75" customHeight="1" s="77"/>
    <row r="809" ht="15.75" customHeight="1" s="77"/>
    <row r="810" ht="15.75" customHeight="1" s="77"/>
    <row r="811" ht="15.75" customHeight="1" s="77"/>
    <row r="812" ht="15.75" customHeight="1" s="77"/>
    <row r="813" ht="15.75" customHeight="1" s="77"/>
    <row r="814" ht="15.75" customHeight="1" s="77"/>
    <row r="815" ht="15.75" customHeight="1" s="77"/>
    <row r="816" ht="15.75" customHeight="1" s="77"/>
    <row r="817" ht="15.75" customHeight="1" s="77"/>
    <row r="818" ht="15.75" customHeight="1" s="77"/>
    <row r="819" ht="15.75" customHeight="1" s="77"/>
    <row r="820" ht="15.75" customHeight="1" s="77"/>
    <row r="821" ht="15.75" customHeight="1" s="77"/>
    <row r="822" ht="15.75" customHeight="1" s="77"/>
    <row r="823" ht="15.75" customHeight="1" s="77"/>
    <row r="824" ht="15.75" customHeight="1" s="77"/>
    <row r="825" ht="15.75" customHeight="1" s="77"/>
    <row r="826" ht="15.75" customHeight="1" s="77"/>
    <row r="827" ht="15.75" customHeight="1" s="77"/>
    <row r="828" ht="15.75" customHeight="1" s="77"/>
    <row r="829" ht="15.75" customHeight="1" s="77"/>
    <row r="830" ht="15.75" customHeight="1" s="77"/>
    <row r="831" ht="15.75" customHeight="1" s="77"/>
    <row r="832" ht="15.75" customHeight="1" s="77"/>
    <row r="833" ht="15.75" customHeight="1" s="77"/>
    <row r="834" ht="15.75" customHeight="1" s="77"/>
    <row r="835" ht="15.75" customHeight="1" s="77"/>
    <row r="836" ht="15.75" customHeight="1" s="77"/>
    <row r="837" ht="15.75" customHeight="1" s="77"/>
    <row r="838" ht="15.75" customHeight="1" s="77"/>
    <row r="839" ht="15.75" customHeight="1" s="77"/>
    <row r="840" ht="15.75" customHeight="1" s="77"/>
    <row r="841" ht="15.75" customHeight="1" s="77"/>
    <row r="842" ht="15.75" customHeight="1" s="77"/>
    <row r="843" ht="15.75" customHeight="1" s="77"/>
    <row r="844" ht="15.75" customHeight="1" s="77"/>
    <row r="845" ht="15.75" customHeight="1" s="77"/>
    <row r="846" ht="15.75" customHeight="1" s="77"/>
    <row r="847" ht="15.75" customHeight="1" s="77"/>
    <row r="848" ht="15.75" customHeight="1" s="77"/>
    <row r="849" ht="15.75" customHeight="1" s="77"/>
    <row r="850" ht="15.75" customHeight="1" s="77"/>
    <row r="851" ht="15.75" customHeight="1" s="77"/>
    <row r="852" ht="15.75" customHeight="1" s="77"/>
    <row r="853" ht="15.75" customHeight="1" s="77"/>
    <row r="854" ht="15.75" customHeight="1" s="77"/>
    <row r="855" ht="15.75" customHeight="1" s="77"/>
    <row r="856" ht="15.75" customHeight="1" s="77"/>
    <row r="857" ht="15.75" customHeight="1" s="77"/>
    <row r="858" ht="15.75" customHeight="1" s="77"/>
    <row r="859" ht="15.75" customHeight="1" s="77"/>
    <row r="860" ht="15.75" customHeight="1" s="77"/>
    <row r="861" ht="15.75" customHeight="1" s="77"/>
    <row r="862" ht="15.75" customHeight="1" s="77"/>
    <row r="863" ht="15.75" customHeight="1" s="77"/>
    <row r="864" ht="15.75" customHeight="1" s="77"/>
    <row r="865" ht="15.75" customHeight="1" s="77"/>
    <row r="866" ht="15.75" customHeight="1" s="77"/>
    <row r="867" ht="15.75" customHeight="1" s="77"/>
    <row r="868" ht="15.75" customHeight="1" s="77"/>
    <row r="869" ht="15.75" customHeight="1" s="77"/>
    <row r="870" ht="15.75" customHeight="1" s="77"/>
    <row r="871" ht="15.75" customHeight="1" s="77"/>
    <row r="872" ht="15.75" customHeight="1" s="77"/>
    <row r="873" ht="15.75" customHeight="1" s="77"/>
    <row r="874" ht="15.75" customHeight="1" s="77"/>
    <row r="875" ht="15.75" customHeight="1" s="77"/>
    <row r="876" ht="15.75" customHeight="1" s="77"/>
    <row r="877" ht="15.75" customHeight="1" s="77"/>
    <row r="878" ht="15.75" customHeight="1" s="77"/>
    <row r="879" ht="15.75" customHeight="1" s="77"/>
    <row r="880" ht="15.75" customHeight="1" s="77"/>
    <row r="881" ht="15.75" customHeight="1" s="77"/>
    <row r="882" ht="15.75" customHeight="1" s="77"/>
    <row r="883" ht="15.75" customHeight="1" s="77"/>
    <row r="884" ht="15.75" customHeight="1" s="77"/>
    <row r="885" ht="15.75" customHeight="1" s="77"/>
    <row r="886" ht="15.75" customHeight="1" s="77"/>
    <row r="887" ht="15.75" customHeight="1" s="77"/>
    <row r="888" ht="15.75" customHeight="1" s="77"/>
    <row r="889" ht="15.75" customHeight="1" s="77"/>
    <row r="890" ht="15.75" customHeight="1" s="77"/>
    <row r="891" ht="15.75" customHeight="1" s="77"/>
    <row r="892" ht="15.75" customHeight="1" s="77"/>
    <row r="893" ht="15.75" customHeight="1" s="77"/>
    <row r="894" ht="15.75" customHeight="1" s="77"/>
    <row r="895" ht="15.75" customHeight="1" s="77"/>
    <row r="896" ht="15.75" customHeight="1" s="77"/>
    <row r="897" ht="15.75" customHeight="1" s="77"/>
    <row r="898" ht="15.75" customHeight="1" s="77"/>
    <row r="899" ht="15.75" customHeight="1" s="77"/>
    <row r="900" ht="15.75" customHeight="1" s="77"/>
    <row r="901" ht="15.75" customHeight="1" s="77"/>
    <row r="902" ht="15.75" customHeight="1" s="77"/>
    <row r="903" ht="15.75" customHeight="1" s="77"/>
    <row r="904" ht="15.75" customHeight="1" s="77"/>
    <row r="905" ht="15.75" customHeight="1" s="77"/>
    <row r="906" ht="15.75" customHeight="1" s="77"/>
    <row r="907" ht="15.75" customHeight="1" s="77"/>
    <row r="908" ht="15.75" customHeight="1" s="77"/>
    <row r="909" ht="15.75" customHeight="1" s="77"/>
    <row r="910" ht="15.75" customHeight="1" s="77"/>
    <row r="911" ht="15.75" customHeight="1" s="77"/>
    <row r="912" ht="15.75" customHeight="1" s="77"/>
    <row r="913" ht="15.75" customHeight="1" s="77"/>
    <row r="914" ht="15.75" customHeight="1" s="77"/>
    <row r="915" ht="15.75" customHeight="1" s="77"/>
    <row r="916" ht="15.75" customHeight="1" s="77"/>
    <row r="917" ht="15.75" customHeight="1" s="77"/>
    <row r="918" ht="15.75" customHeight="1" s="77"/>
    <row r="919" ht="15.75" customHeight="1" s="77"/>
    <row r="920" ht="15.75" customHeight="1" s="77"/>
    <row r="921" ht="15.75" customHeight="1" s="77"/>
    <row r="922" ht="15.75" customHeight="1" s="77"/>
    <row r="923" ht="15.75" customHeight="1" s="77"/>
    <row r="924" ht="15.75" customHeight="1" s="77"/>
    <row r="925" ht="15.75" customHeight="1" s="77"/>
    <row r="926" ht="15.75" customHeight="1" s="77"/>
    <row r="927" ht="15.75" customHeight="1" s="77"/>
    <row r="928" ht="15.75" customHeight="1" s="77"/>
    <row r="929" ht="15.75" customHeight="1" s="77"/>
    <row r="930" ht="15.75" customHeight="1" s="77"/>
    <row r="931" ht="15.75" customHeight="1" s="77"/>
    <row r="932" ht="15.75" customHeight="1" s="77"/>
    <row r="933" ht="15.75" customHeight="1" s="77"/>
    <row r="934" ht="15.75" customHeight="1" s="77"/>
    <row r="935" ht="15.75" customHeight="1" s="77"/>
    <row r="936" ht="15.75" customHeight="1" s="77"/>
    <row r="937" ht="15.75" customHeight="1" s="77"/>
    <row r="938" ht="15.75" customHeight="1" s="77"/>
    <row r="939" ht="15.75" customHeight="1" s="77"/>
    <row r="940" ht="15.75" customHeight="1" s="77"/>
    <row r="941" ht="15.75" customHeight="1" s="77"/>
    <row r="942" ht="15.75" customHeight="1" s="77"/>
    <row r="943" ht="15.75" customHeight="1" s="77"/>
    <row r="944" ht="15.75" customHeight="1" s="77"/>
    <row r="945" ht="15.75" customHeight="1" s="77"/>
    <row r="946" ht="15.75" customHeight="1" s="77"/>
    <row r="947" ht="15.75" customHeight="1" s="77"/>
    <row r="948" ht="15.75" customHeight="1" s="77"/>
    <row r="949" ht="15.75" customHeight="1" s="77"/>
    <row r="950" ht="15.75" customHeight="1" s="77"/>
    <row r="951" ht="15.75" customHeight="1" s="77"/>
    <row r="952" ht="15.75" customHeight="1" s="77"/>
    <row r="953" ht="15.75" customHeight="1" s="77"/>
    <row r="954" ht="15.75" customHeight="1" s="77"/>
    <row r="955" ht="15.75" customHeight="1" s="77"/>
    <row r="956" ht="15.75" customHeight="1" s="77"/>
    <row r="957" ht="15.75" customHeight="1" s="77"/>
    <row r="958" ht="15.75" customHeight="1" s="77"/>
    <row r="959" ht="15.75" customHeight="1" s="77"/>
    <row r="960" ht="15.75" customHeight="1" s="77"/>
    <row r="961" ht="15.75" customHeight="1" s="77"/>
    <row r="962" ht="15.75" customHeight="1" s="77"/>
    <row r="963" ht="15.75" customHeight="1" s="77"/>
    <row r="964" ht="15.75" customHeight="1" s="77"/>
    <row r="965" ht="15.75" customHeight="1" s="77"/>
    <row r="966" ht="15.75" customHeight="1" s="77"/>
    <row r="967" ht="15.75" customHeight="1" s="77"/>
    <row r="968" ht="15.75" customHeight="1" s="77"/>
    <row r="969" ht="15.75" customHeight="1" s="77"/>
    <row r="970" ht="15.75" customHeight="1" s="77"/>
    <row r="971" ht="15.75" customHeight="1" s="77"/>
    <row r="972" ht="15.75" customHeight="1" s="77"/>
    <row r="973" ht="15.75" customHeight="1" s="77"/>
    <row r="974" ht="15.75" customHeight="1" s="77"/>
    <row r="975" ht="15.75" customHeight="1" s="77"/>
    <row r="976" ht="15.75" customHeight="1" s="77"/>
    <row r="977" ht="15.75" customHeight="1" s="77"/>
    <row r="978" ht="15.75" customHeight="1" s="77"/>
    <row r="979" ht="15.75" customHeight="1" s="77"/>
    <row r="980" ht="15.75" customHeight="1" s="77"/>
    <row r="981" ht="15.75" customHeight="1" s="77"/>
    <row r="982" ht="15.75" customHeight="1" s="77"/>
    <row r="983" ht="15.75" customHeight="1" s="77"/>
    <row r="984" ht="15.75" customHeight="1" s="77"/>
    <row r="985" ht="15.75" customHeight="1" s="77"/>
    <row r="986" ht="15.75" customHeight="1" s="77"/>
    <row r="987" ht="15.75" customHeight="1" s="77"/>
    <row r="988" ht="15.75" customHeight="1" s="77"/>
    <row r="989" ht="15.75" customHeight="1" s="77"/>
    <row r="990" ht="15.75" customHeight="1" s="77"/>
    <row r="991" ht="15.75" customHeight="1" s="77"/>
    <row r="992" ht="15.75" customHeight="1" s="77"/>
    <row r="993" ht="15.75" customHeight="1" s="77"/>
    <row r="994" ht="15.75" customHeight="1" s="77"/>
    <row r="995" ht="15.75" customHeight="1" s="77"/>
    <row r="996" ht="15.75" customHeight="1" s="77"/>
    <row r="997" ht="15.75" customHeight="1" s="77"/>
    <row r="998" ht="15.75" customHeight="1" s="77"/>
    <row r="999" ht="15.75" customHeight="1" s="77"/>
    <row r="1000" ht="15.75" customHeight="1" s="77"/>
  </sheetData>
  <mergeCells count="10">
    <mergeCell ref="A33:C37"/>
    <mergeCell ref="A32:C32"/>
    <mergeCell ref="A31:C31"/>
    <mergeCell ref="A9:C14"/>
    <mergeCell ref="A15:C29"/>
    <mergeCell ref="A3:C8"/>
    <mergeCell ref="A30:C30"/>
    <mergeCell ref="A1:B1"/>
    <mergeCell ref="A38:C38"/>
    <mergeCell ref="A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style="77" min="1" max="1"/>
    <col width="72" customWidth="1" style="77" min="2" max="2"/>
    <col width="14" customWidth="1" style="77" min="3" max="3"/>
  </cols>
  <sheetData>
    <row r="1" ht="28" customHeight="1" s="77">
      <c r="A1" s="148" t="inlineStr">
        <is>
          <t>ESTIMATION DE STAGE ETU003346</t>
        </is>
      </c>
      <c r="B1" s="166" t="n"/>
      <c r="C1" s="166" t="n"/>
    </row>
    <row r="2" ht="24" customHeight="1" s="77">
      <c r="A2" s="150" t="inlineStr">
        <is>
          <t>Estimation en jours</t>
        </is>
      </c>
      <c r="B2" s="167" t="n"/>
      <c r="C2" s="168" t="n"/>
    </row>
    <row r="3" ht="22" customHeight="1" s="77">
      <c r="A3" s="152" t="n"/>
      <c r="B3" s="152" t="inlineStr">
        <is>
          <t>Tâches</t>
        </is>
      </c>
      <c r="C3" s="152" t="inlineStr">
        <is>
          <t>Estimation</t>
        </is>
      </c>
    </row>
    <row r="4" ht="24" customHeight="1" s="77">
      <c r="A4" s="153" t="inlineStr">
        <is>
          <t>Sprint 0</t>
        </is>
      </c>
      <c r="B4" s="154" t="inlineStr">
        <is>
          <t>Analyse, cadrage et conception</t>
        </is>
      </c>
      <c r="C4" s="153" t="n"/>
    </row>
    <row r="5" ht="20" customHeight="1" s="77">
      <c r="A5" s="151" t="n"/>
      <c r="B5" s="151" t="inlineStr">
        <is>
          <t>Analyse du cahier des charges et définition du périmètre V1</t>
        </is>
      </c>
      <c r="C5" s="155" t="n">
        <v>2</v>
      </c>
    </row>
    <row r="6" ht="20" customHeight="1" s="77">
      <c r="A6" s="151" t="n"/>
      <c r="B6" s="151" t="inlineStr">
        <is>
          <t>Identification des modules fonctionnels du recrutement</t>
        </is>
      </c>
      <c r="C6" s="155" t="n">
        <v>1.5</v>
      </c>
    </row>
    <row r="7" ht="20" customHeight="1" s="77">
      <c r="A7" s="151" t="n"/>
      <c r="B7" s="151" t="inlineStr">
        <is>
          <t>Analyse des parcours candidat / RH / admin</t>
        </is>
      </c>
      <c r="C7" s="155" t="n">
        <v>1.5</v>
      </c>
    </row>
    <row r="8" ht="20" customHeight="1" s="77">
      <c r="A8" s="151" t="n"/>
      <c r="B8" s="151" t="inlineStr">
        <is>
          <t>Conception du MCD / MLD et des règles métier</t>
        </is>
      </c>
      <c r="C8" s="155" t="n">
        <v>2</v>
      </c>
    </row>
    <row r="9" ht="20" customHeight="1" s="77">
      <c r="A9" s="151" t="n"/>
      <c r="B9" s="151" t="inlineStr">
        <is>
          <t>Conception de l'architecture Laravel / React / PostgreSQL / FastAPI</t>
        </is>
      </c>
      <c r="C9" s="155" t="n">
        <v>1.5</v>
      </c>
    </row>
    <row r="10" ht="20" customHeight="1" s="77">
      <c r="A10" s="151" t="n"/>
      <c r="B10" s="151" t="inlineStr">
        <is>
          <t>Planification du projet et préparation de l'environnement</t>
        </is>
      </c>
      <c r="C10" s="155" t="n">
        <v>1.5</v>
      </c>
    </row>
    <row r="11" ht="20" customHeight="1" s="77">
      <c r="A11" s="156" t="n"/>
      <c r="B11" s="156" t="inlineStr">
        <is>
          <t>Sous-total</t>
        </is>
      </c>
      <c r="C11" s="157">
        <f>SUM(C5:C10)</f>
        <v/>
      </c>
    </row>
    <row r="12" ht="24" customHeight="1" s="77">
      <c r="A12" s="153" t="inlineStr">
        <is>
          <t>Sprint 1</t>
        </is>
      </c>
      <c r="B12" s="154" t="inlineStr">
        <is>
          <t>Socle technique, sécurité et référentiels de base</t>
        </is>
      </c>
      <c r="C12" s="153" t="n"/>
    </row>
    <row r="13" ht="20" customHeight="1" s="77">
      <c r="A13" s="158" t="n"/>
      <c r="B13" s="158" t="inlineStr">
        <is>
          <t>BACK-OFFICE / API</t>
        </is>
      </c>
      <c r="C13" s="159" t="n"/>
    </row>
    <row r="14" ht="20" customHeight="1" s="77">
      <c r="A14" s="151" t="n"/>
      <c r="B14" s="151" t="inlineStr">
        <is>
          <t>Configuration du projet Laravel et de l'environnement PostgreSQL</t>
        </is>
      </c>
      <c r="C14" s="155" t="n">
        <v>1</v>
      </c>
    </row>
    <row r="15" ht="20" customHeight="1" s="77">
      <c r="A15" s="151" t="n"/>
      <c r="B15" s="151" t="inlineStr">
        <is>
          <t>Mise en place des migrations principales et des seeders</t>
        </is>
      </c>
      <c r="C15" s="155" t="n">
        <v>1.5</v>
      </c>
    </row>
    <row r="16" ht="20" customHeight="1" s="77">
      <c r="A16" s="151" t="n"/>
      <c r="B16" s="151" t="inlineStr">
        <is>
          <t>Mise en place de l'architecture API REST</t>
        </is>
      </c>
      <c r="C16" s="155" t="n">
        <v>1</v>
      </c>
    </row>
    <row r="17" ht="20" customHeight="1" s="77">
      <c r="A17" s="151" t="n"/>
      <c r="B17" s="151" t="inlineStr">
        <is>
          <t>Authentification et gestion des rôles RH / admin / manager</t>
        </is>
      </c>
      <c r="C17" s="155" t="n">
        <v>2</v>
      </c>
    </row>
    <row r="18" ht="20" customHeight="1" s="77">
      <c r="A18" s="158" t="n"/>
      <c r="B18" s="158" t="inlineStr">
        <is>
          <t>FRONT-OFFICE / INTERFACE</t>
        </is>
      </c>
      <c r="C18" s="159" t="n"/>
    </row>
    <row r="19" ht="20" customHeight="1" s="77">
      <c r="A19" s="151" t="n"/>
      <c r="B19" s="151" t="inlineStr">
        <is>
          <t>Installation de React avec Vite et structure de navigation</t>
        </is>
      </c>
      <c r="C19" s="155" t="n">
        <v>1</v>
      </c>
    </row>
    <row r="20" ht="20" customHeight="1" s="77">
      <c r="A20" s="151" t="n"/>
      <c r="B20" s="151" t="inlineStr">
        <is>
          <t>Intégration de la mise en page générale du back-office</t>
        </is>
      </c>
      <c r="C20" s="155" t="n">
        <v>1</v>
      </c>
    </row>
    <row r="21" ht="20" customHeight="1" s="77">
      <c r="A21" s="151" t="n"/>
      <c r="B21" s="151" t="inlineStr">
        <is>
          <t>Tests et debug</t>
        </is>
      </c>
      <c r="C21" s="155" t="n">
        <v>0.5</v>
      </c>
    </row>
    <row r="22" ht="20" customHeight="1" s="77">
      <c r="A22" s="156" t="n"/>
      <c r="B22" s="156" t="inlineStr">
        <is>
          <t>Sous-total</t>
        </is>
      </c>
      <c r="C22" s="157">
        <f>SUM(C14:C21)</f>
        <v/>
      </c>
    </row>
    <row r="23" ht="24" customHeight="1" s="77">
      <c r="A23" s="153" t="inlineStr">
        <is>
          <t>Sprint 2</t>
        </is>
      </c>
      <c r="B23" s="154" t="inlineStr">
        <is>
          <t>Gestion des offres, directions et domaines</t>
        </is>
      </c>
      <c r="C23" s="153" t="n"/>
    </row>
    <row r="24" ht="20" customHeight="1" s="77">
      <c r="A24" s="158" t="n"/>
      <c r="B24" s="158" t="inlineStr">
        <is>
          <t>BACK-OFFICE</t>
        </is>
      </c>
      <c r="C24" s="159" t="n"/>
    </row>
    <row r="25" ht="20" customHeight="1" s="77">
      <c r="A25" s="151" t="n"/>
      <c r="B25" s="151" t="inlineStr">
        <is>
          <t>CRUD des directions</t>
        </is>
      </c>
      <c r="C25" s="155" t="n">
        <v>0.5</v>
      </c>
    </row>
    <row r="26" ht="20" customHeight="1" s="77">
      <c r="A26" s="151" t="n"/>
      <c r="B26" s="151" t="inlineStr">
        <is>
          <t>CRUD des domaines et validation des domaines en attente</t>
        </is>
      </c>
      <c r="C26" s="155" t="n">
        <v>1</v>
      </c>
    </row>
    <row r="27" ht="20" customHeight="1" s="77">
      <c r="A27" s="151" t="n"/>
      <c r="B27" s="151" t="inlineStr">
        <is>
          <t>CRUD des offres d'emploi</t>
        </is>
      </c>
      <c r="C27" s="155" t="n">
        <v>2</v>
      </c>
    </row>
    <row r="28" ht="20" customHeight="1" s="77">
      <c r="A28" s="151" t="n"/>
      <c r="B28" s="151" t="inlineStr">
        <is>
          <t>Gestion du statut des offres : brouillon, publiée, clôturée</t>
        </is>
      </c>
      <c r="C28" s="155" t="n">
        <v>1</v>
      </c>
    </row>
    <row r="29" ht="20" customHeight="1" s="77">
      <c r="A29" s="151" t="n"/>
      <c r="B29" s="151" t="inlineStr">
        <is>
          <t>Gestion du profil, des missions et des formations requises</t>
        </is>
      </c>
      <c r="C29" s="155" t="n">
        <v>1.5</v>
      </c>
    </row>
    <row r="30" ht="20" customHeight="1" s="77">
      <c r="A30" s="151" t="n"/>
      <c r="B30" s="151" t="inlineStr">
        <is>
          <t>Gestion des compétences requises par offre</t>
        </is>
      </c>
      <c r="C30" s="155" t="n">
        <v>1</v>
      </c>
    </row>
    <row r="31" ht="20" customHeight="1" s="77">
      <c r="A31" s="158" t="n"/>
      <c r="B31" s="158" t="inlineStr">
        <is>
          <t>FRONT-OFFICE / API</t>
        </is>
      </c>
      <c r="C31" s="159" t="n"/>
    </row>
    <row r="32" ht="20" customHeight="1" s="77">
      <c r="A32" s="151" t="n"/>
      <c r="B32" s="151" t="inlineStr">
        <is>
          <t>Affichage des offres publiées et génération du lien de candidature</t>
        </is>
      </c>
      <c r="C32" s="155" t="n">
        <v>1</v>
      </c>
    </row>
    <row r="33" ht="20" customHeight="1" s="77">
      <c r="A33" s="151" t="n"/>
      <c r="B33" s="151" t="inlineStr">
        <is>
          <t>Tests et debug</t>
        </is>
      </c>
      <c r="C33" s="155" t="n">
        <v>1</v>
      </c>
    </row>
    <row r="34" ht="20" customHeight="1" s="77">
      <c r="A34" s="156" t="n"/>
      <c r="B34" s="156" t="inlineStr">
        <is>
          <t>Sous-total</t>
        </is>
      </c>
      <c r="C34" s="157">
        <f>SUM(C25:C33)</f>
        <v/>
      </c>
    </row>
    <row r="35" ht="24" customHeight="1" s="77">
      <c r="A35" s="153" t="inlineStr">
        <is>
          <t>Sprint 3</t>
        </is>
      </c>
      <c r="B35" s="154" t="inlineStr">
        <is>
          <t>Dépôt et réception des candidatures</t>
        </is>
      </c>
      <c r="C35" s="153" t="n"/>
    </row>
    <row r="36" ht="20" customHeight="1" s="77">
      <c r="A36" s="158" t="n"/>
      <c r="B36" s="158" t="inlineStr">
        <is>
          <t>FRONT-OFFICE</t>
        </is>
      </c>
      <c r="C36" s="159" t="n"/>
    </row>
    <row r="37" ht="20" customHeight="1" s="77">
      <c r="A37" s="151" t="n"/>
      <c r="B37" s="151" t="inlineStr">
        <is>
          <t>Formulaire de candidature sur offre</t>
        </is>
      </c>
      <c r="C37" s="155" t="n">
        <v>1.5</v>
      </c>
    </row>
    <row r="38" ht="20" customHeight="1" s="77">
      <c r="A38" s="151" t="n"/>
      <c r="B38" s="151" t="inlineStr">
        <is>
          <t>Formulaire de candidature spontanée avec domaine ou autre domaine</t>
        </is>
      </c>
      <c r="C38" s="155" t="n">
        <v>1.5</v>
      </c>
    </row>
    <row r="39" ht="20" customHeight="1" s="77">
      <c r="A39" s="151" t="n"/>
      <c r="B39" s="151" t="inlineStr">
        <is>
          <t>Upload des CV, photos et documents</t>
        </is>
      </c>
      <c r="C39" s="155" t="n">
        <v>1</v>
      </c>
    </row>
    <row r="40" ht="20" customHeight="1" s="77">
      <c r="A40" s="158" t="n"/>
      <c r="B40" s="158" t="inlineStr">
        <is>
          <t>BACK-OFFICE</t>
        </is>
      </c>
      <c r="C40" s="159" t="n"/>
    </row>
    <row r="41" ht="20" customHeight="1" s="77">
      <c r="A41" s="151" t="n"/>
      <c r="B41" s="151" t="inlineStr">
        <is>
          <t>Saisie manuelle d'une candidature par un RH</t>
        </is>
      </c>
      <c r="C41" s="155" t="n">
        <v>1</v>
      </c>
    </row>
    <row r="42" ht="20" customHeight="1" s="77">
      <c r="A42" s="158" t="n"/>
      <c r="B42" s="158" t="inlineStr">
        <is>
          <t>API / SERVICES</t>
        </is>
      </c>
      <c r="C42" s="159" t="n"/>
    </row>
    <row r="43" ht="20" customHeight="1" s="77">
      <c r="A43" s="151" t="n"/>
      <c r="B43" s="151" t="inlineStr">
        <is>
          <t>Détection d'un candidat existant et dédoublonnage par email</t>
        </is>
      </c>
      <c r="C43" s="155" t="n">
        <v>1</v>
      </c>
    </row>
    <row r="44" ht="20" customHeight="1" s="77">
      <c r="A44" s="151" t="n"/>
      <c r="B44" s="151" t="inlineStr">
        <is>
          <t>Création transactionnelle : candidat, candidature, statut initial, historique</t>
        </is>
      </c>
      <c r="C44" s="155" t="n">
        <v>2</v>
      </c>
    </row>
    <row r="45" ht="20" customHeight="1" s="77">
      <c r="A45" s="151" t="n"/>
      <c r="B45" s="151" t="inlineStr">
        <is>
          <t>Préparation de la réception/import depuis le site externe</t>
        </is>
      </c>
      <c r="C45" s="155" t="n">
        <v>0.5</v>
      </c>
    </row>
    <row r="46" ht="20" customHeight="1" s="77">
      <c r="A46" s="151" t="n"/>
      <c r="B46" s="151" t="inlineStr">
        <is>
          <t>Accusé de réception et première communication automatique</t>
        </is>
      </c>
      <c r="C46" s="155" t="n">
        <v>0.5</v>
      </c>
    </row>
    <row r="47" ht="20" customHeight="1" s="77">
      <c r="A47" s="151" t="n"/>
      <c r="B47" s="151" t="inlineStr">
        <is>
          <t>Tests et debug</t>
        </is>
      </c>
      <c r="C47" s="155" t="n">
        <v>1</v>
      </c>
    </row>
    <row r="48" ht="20" customHeight="1" s="77">
      <c r="A48" s="156" t="n"/>
      <c r="B48" s="156" t="inlineStr">
        <is>
          <t>Sous-total</t>
        </is>
      </c>
      <c r="C48" s="157">
        <f>SUM(C37:C47)</f>
        <v/>
      </c>
    </row>
    <row r="49" ht="24" customHeight="1" s="77">
      <c r="A49" s="153" t="inlineStr">
        <is>
          <t>Sprint 4</t>
        </is>
      </c>
      <c r="B49" s="154" t="inlineStr">
        <is>
          <t>Gestion RH des candidatures et fiche candidat</t>
        </is>
      </c>
      <c r="C49" s="153" t="n"/>
    </row>
    <row r="50" ht="20" customHeight="1" s="77">
      <c r="A50" s="158" t="n"/>
      <c r="B50" s="158" t="inlineStr">
        <is>
          <t>BACK-OFFICE</t>
        </is>
      </c>
      <c r="C50" s="159" t="n"/>
    </row>
    <row r="51" ht="20" customHeight="1" s="77">
      <c r="A51" s="151" t="n"/>
      <c r="B51" s="151" t="inlineStr">
        <is>
          <t>Liste générale des candidatures avec pagination</t>
        </is>
      </c>
      <c r="C51" s="155" t="n">
        <v>1</v>
      </c>
    </row>
    <row r="52" ht="20" customHeight="1" s="77">
      <c r="A52" s="151" t="n"/>
      <c r="B52" s="151" t="inlineStr">
        <is>
          <t>Recherche et filtres : statut, direction, période, canal, type</t>
        </is>
      </c>
      <c r="C52" s="155" t="n">
        <v>1</v>
      </c>
    </row>
    <row r="53" ht="20" customHeight="1" s="77">
      <c r="A53" s="151" t="n"/>
      <c r="B53" s="151" t="inlineStr">
        <is>
          <t>Gestion des candidatures sur offre : Direction -&gt; Offre -&gt; Candidats</t>
        </is>
      </c>
      <c r="C53" s="155" t="n">
        <v>1</v>
      </c>
    </row>
    <row r="54" ht="20" customHeight="1" s="77">
      <c r="A54" s="151" t="n"/>
      <c r="B54" s="151" t="inlineStr">
        <is>
          <t>Gestion des candidatures spontanées : Direction -&gt; Domaine -&gt; Candidatures</t>
        </is>
      </c>
      <c r="C54" s="155" t="n">
        <v>1</v>
      </c>
    </row>
    <row r="55" ht="20" customHeight="1" s="77">
      <c r="A55" s="151" t="n"/>
      <c r="B55" s="151" t="inlineStr">
        <is>
          <t>Fiche candidat : informations, documents, statut, historique statuts et communications</t>
        </is>
      </c>
      <c r="C55" s="155" t="n">
        <v>2</v>
      </c>
    </row>
    <row r="56" ht="20" customHeight="1" s="77">
      <c r="A56" s="151" t="n"/>
      <c r="B56" s="151" t="inlineStr">
        <is>
          <t>Changement de statut avec commentaire et historique</t>
        </is>
      </c>
      <c r="C56" s="155" t="n">
        <v>1.5</v>
      </c>
    </row>
    <row r="57" ht="20" customHeight="1" s="77">
      <c r="A57" s="151" t="n"/>
      <c r="B57" s="151" t="inlineStr">
        <is>
          <t>Export PDF de la fiche candidat</t>
        </is>
      </c>
      <c r="C57" s="155" t="n">
        <v>0.5</v>
      </c>
    </row>
    <row r="58" ht="20" customHeight="1" s="77">
      <c r="A58" s="151" t="n"/>
      <c r="B58" s="151" t="inlineStr">
        <is>
          <t>Tests et debug</t>
        </is>
      </c>
      <c r="C58" s="155" t="n">
        <v>1</v>
      </c>
    </row>
    <row r="59" ht="20" customHeight="1" s="77">
      <c r="A59" s="156" t="n"/>
      <c r="B59" s="156" t="inlineStr">
        <is>
          <t>Sous-total</t>
        </is>
      </c>
      <c r="C59" s="157">
        <f>SUM(C51:C58)</f>
        <v/>
      </c>
    </row>
    <row r="60" ht="24" customHeight="1" s="77">
      <c r="A60" s="153" t="inlineStr">
        <is>
          <t>Sprint 5</t>
        </is>
      </c>
      <c r="B60" s="154" t="inlineStr">
        <is>
          <t>Vivier, compétences et validation CV</t>
        </is>
      </c>
      <c r="C60" s="153" t="n"/>
    </row>
    <row r="61" ht="20" customHeight="1" s="77">
      <c r="A61" s="158" t="n"/>
      <c r="B61" s="158" t="inlineStr">
        <is>
          <t>BACK-OFFICE</t>
        </is>
      </c>
      <c r="C61" s="159" t="n"/>
    </row>
    <row r="62" ht="20" customHeight="1" s="77">
      <c r="A62" s="151" t="n"/>
      <c r="B62" s="151" t="inlineStr">
        <is>
          <t>Gestion du vivier : ajout, retrait, consultation</t>
        </is>
      </c>
      <c r="C62" s="155" t="n">
        <v>1</v>
      </c>
    </row>
    <row r="63" ht="20" customHeight="1" s="77">
      <c r="A63" s="151" t="n"/>
      <c r="B63" s="151" t="inlineStr">
        <is>
          <t>Recherche dans le vivier par compétence, domaine et direction</t>
        </is>
      </c>
      <c r="C63" s="155" t="n">
        <v>1</v>
      </c>
    </row>
    <row r="64" ht="20" customHeight="1" s="77">
      <c r="A64" s="151" t="n"/>
      <c r="B64" s="151" t="inlineStr">
        <is>
          <t>CRUD du référentiel des compétences</t>
        </is>
      </c>
      <c r="C64" s="155" t="n">
        <v>1</v>
      </c>
    </row>
    <row r="65" ht="20" customHeight="1" s="77">
      <c r="A65" s="151" t="n"/>
      <c r="B65" s="151" t="inlineStr">
        <is>
          <t>Gestion manuelle des compétences, expériences et formations candidat</t>
        </is>
      </c>
      <c r="C65" s="155" t="n">
        <v>1.5</v>
      </c>
    </row>
    <row r="66" ht="20" customHeight="1" s="77">
      <c r="A66" s="158" t="n"/>
      <c r="B66" s="158" t="inlineStr">
        <is>
          <t>OCR / IA</t>
        </is>
      </c>
      <c r="C66" s="159" t="n"/>
    </row>
    <row r="67" ht="20" customHeight="1" s="77">
      <c r="A67" s="151" t="n"/>
      <c r="B67" s="151" t="inlineStr">
        <is>
          <t>Intégration FastAPI et extraction OCR avec PaddleOCR</t>
        </is>
      </c>
      <c r="C67" s="155" t="n">
        <v>1.5</v>
      </c>
    </row>
    <row r="68" ht="20" customHeight="1" s="77">
      <c r="A68" s="151" t="n"/>
      <c r="B68" s="151" t="inlineStr">
        <is>
          <t>Extraction des compétences, expériences et formations depuis le CV</t>
        </is>
      </c>
      <c r="C68" s="155" t="n">
        <v>1</v>
      </c>
    </row>
    <row r="69" ht="20" customHeight="1" s="77">
      <c r="A69" s="151" t="n"/>
      <c r="B69" s="151" t="inlineStr">
        <is>
          <t>Validation, correction et rejet des données extraites</t>
        </is>
      </c>
      <c r="C69" s="155" t="n">
        <v>1</v>
      </c>
    </row>
    <row r="70" ht="20" customHeight="1" s="77">
      <c r="A70" s="151" t="n"/>
      <c r="B70" s="151" t="inlineStr">
        <is>
          <t>Tests et debug</t>
        </is>
      </c>
      <c r="C70" s="155" t="n">
        <v>1</v>
      </c>
    </row>
    <row r="71" ht="20" customHeight="1" s="77">
      <c r="A71" s="156" t="n"/>
      <c r="B71" s="156" t="inlineStr">
        <is>
          <t>Sous-total</t>
        </is>
      </c>
      <c r="C71" s="157">
        <f>SUM(C62:C70)</f>
        <v/>
      </c>
    </row>
    <row r="72" ht="24" customHeight="1" s="77">
      <c r="A72" s="153" t="inlineStr">
        <is>
          <t>Sprint 6</t>
        </is>
      </c>
      <c r="B72" s="154" t="inlineStr">
        <is>
          <t>Rendez-vous, communications et modèles</t>
        </is>
      </c>
      <c r="C72" s="153" t="n"/>
    </row>
    <row r="73" ht="20" customHeight="1" s="77">
      <c r="A73" s="158" t="n"/>
      <c r="B73" s="158" t="inlineStr">
        <is>
          <t>BACK-OFFICE</t>
        </is>
      </c>
      <c r="C73" s="159" t="n"/>
    </row>
    <row r="74" ht="20" customHeight="1" s="77">
      <c r="A74" s="151" t="n"/>
      <c r="B74" s="151" t="inlineStr">
        <is>
          <t>CRUD des rendez-vous : test, entretien, statut, mode, responsable</t>
        </is>
      </c>
      <c r="C74" s="155" t="n">
        <v>2</v>
      </c>
    </row>
    <row r="75" ht="20" customHeight="1" s="77">
      <c r="A75" s="151" t="n"/>
      <c r="B75" s="151" t="inlineStr">
        <is>
          <t>Vue agenda par utilisateur, candidature et période</t>
        </is>
      </c>
      <c r="C75" s="155" t="n">
        <v>1</v>
      </c>
    </row>
    <row r="76" ht="20" customHeight="1" s="77">
      <c r="A76" s="151" t="n"/>
      <c r="B76" s="151" t="inlineStr">
        <is>
          <t>Communication liée aux rendez-vous</t>
        </is>
      </c>
      <c r="C76" s="155" t="n">
        <v>1</v>
      </c>
    </row>
    <row r="77" ht="20" customHeight="1" s="77">
      <c r="A77" s="151" t="n"/>
      <c r="B77" s="151" t="inlineStr">
        <is>
          <t>CRUD des modèles de communication</t>
        </is>
      </c>
      <c r="C77" s="155" t="n">
        <v>1</v>
      </c>
    </row>
    <row r="78" ht="20" customHeight="1" s="77">
      <c r="A78" s="151" t="n"/>
      <c r="B78" s="151" t="inlineStr">
        <is>
          <t>Activation, désactivation et configuration de l'envoi automatique</t>
        </is>
      </c>
      <c r="C78" s="155" t="n">
        <v>1</v>
      </c>
    </row>
    <row r="79" ht="20" customHeight="1" s="77">
      <c r="A79" s="158" t="n"/>
      <c r="B79" s="158" t="inlineStr">
        <is>
          <t>API / SERVICES</t>
        </is>
      </c>
      <c r="C79" s="159" t="n"/>
    </row>
    <row r="80" ht="20" customHeight="1" s="77">
      <c r="A80" s="151" t="n"/>
      <c r="B80" s="151" t="inlineStr">
        <is>
          <t>Envoi manuel, historique des communications et préparation des rappels</t>
        </is>
      </c>
      <c r="C80" s="155" t="n">
        <v>1.5</v>
      </c>
    </row>
    <row r="81" ht="20" customHeight="1" s="77">
      <c r="A81" s="151" t="n"/>
      <c r="B81" s="151" t="inlineStr">
        <is>
          <t>Tests et debug</t>
        </is>
      </c>
      <c r="C81" s="155" t="n">
        <v>0.5</v>
      </c>
    </row>
    <row r="82" ht="20" customHeight="1" s="77">
      <c r="A82" s="156" t="n"/>
      <c r="B82" s="156" t="inlineStr">
        <is>
          <t>Sous-total</t>
        </is>
      </c>
      <c r="C82" s="157">
        <f>SUM(C74:C81)</f>
        <v/>
      </c>
    </row>
    <row r="83" ht="24" customHeight="1" s="77">
      <c r="A83" s="153" t="inlineStr">
        <is>
          <t>Sprint 7</t>
        </is>
      </c>
      <c r="B83" s="154" t="inlineStr">
        <is>
          <t>Dashboard, recherche avancée, matching et finalisation</t>
        </is>
      </c>
      <c r="C83" s="153" t="n"/>
    </row>
    <row r="84" ht="20" customHeight="1" s="77">
      <c r="A84" s="158" t="n"/>
      <c r="B84" s="158" t="inlineStr">
        <is>
          <t>BACK-OFFICE</t>
        </is>
      </c>
      <c r="C84" s="159" t="n"/>
    </row>
    <row r="85" ht="20" customHeight="1" s="77">
      <c r="A85" s="151" t="n"/>
      <c r="B85" s="151" t="inlineStr">
        <is>
          <t>Tableau de bord et indicateurs principaux</t>
        </is>
      </c>
      <c r="C85" s="155" t="n">
        <v>1</v>
      </c>
    </row>
    <row r="86" ht="20" customHeight="1" s="77">
      <c r="A86" s="151" t="n"/>
      <c r="B86" s="151" t="inlineStr">
        <is>
          <t>Statistiques mensuelles, répartition par statut et taux de transformation</t>
        </is>
      </c>
      <c r="C86" s="155" t="n">
        <v>1</v>
      </c>
    </row>
    <row r="87" ht="20" customHeight="1" s="77">
      <c r="A87" s="151" t="n"/>
      <c r="B87" s="151" t="inlineStr">
        <is>
          <t>Délai moyen de traitement et filtres du dashboard</t>
        </is>
      </c>
      <c r="C87" s="155" t="n">
        <v>1</v>
      </c>
    </row>
    <row r="88" ht="20" customHeight="1" s="77">
      <c r="A88" s="151" t="n"/>
      <c r="B88" s="151" t="inlineStr">
        <is>
          <t>Recherche avancée par mots-clés CV et compétences</t>
        </is>
      </c>
      <c r="C88" s="155" t="n">
        <v>1</v>
      </c>
    </row>
    <row r="89" ht="20" customHeight="1" s="77">
      <c r="A89" s="151" t="n"/>
      <c r="B89" s="151" t="inlineStr">
        <is>
          <t>Matching candidat -&gt; offre avec score simple</t>
        </is>
      </c>
      <c r="C89" s="155" t="n">
        <v>1</v>
      </c>
    </row>
    <row r="90" ht="20" customHeight="1" s="77">
      <c r="A90" s="151" t="n"/>
      <c r="B90" s="151" t="inlineStr">
        <is>
          <t>Tests fonctionnels globaux, corrections et optimisation</t>
        </is>
      </c>
      <c r="C90" s="155" t="n">
        <v>1.5</v>
      </c>
    </row>
    <row r="91" ht="20" customHeight="1" s="77">
      <c r="A91" s="151" t="n"/>
      <c r="B91" s="151" t="inlineStr">
        <is>
          <t>Documentation et préparation du déploiement</t>
        </is>
      </c>
      <c r="C91" s="155" t="n">
        <v>0.5</v>
      </c>
    </row>
    <row r="92" ht="20" customHeight="1" s="77">
      <c r="A92" s="156" t="n"/>
      <c r="B92" s="156" t="inlineStr">
        <is>
          <t>Sous-total</t>
        </is>
      </c>
      <c r="C92" s="157">
        <f>SUM(C85:C91)</f>
        <v/>
      </c>
    </row>
    <row r="93" ht="26" customHeight="1" s="77">
      <c r="A93" s="160" t="n"/>
      <c r="B93" s="160" t="inlineStr">
        <is>
          <t>Total Scope</t>
        </is>
      </c>
      <c r="C93" s="161">
        <f>SUM(C11,C22,C34,C48,C59,C71,C82,C92)</f>
        <v/>
      </c>
    </row>
  </sheetData>
  <autoFilter ref="A3:C93"/>
  <mergeCells count="2">
    <mergeCell ref="A1:C1"/>
    <mergeCell ref="A2:C2"/>
  </mergeCells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E46"/>
  <sheetViews>
    <sheetView workbookViewId="0">
      <selection activeCell="A1" sqref="A1"/>
    </sheetView>
  </sheetViews>
  <sheetFormatPr baseColWidth="10" defaultColWidth="12.5703125" defaultRowHeight="15" customHeight="1"/>
  <cols>
    <col width="12.5703125" customWidth="1" style="77" min="1" max="2"/>
    <col width="8" customWidth="1" style="77" min="3" max="3"/>
    <col width="42.28515625" customWidth="1" style="77" min="4" max="4"/>
    <col width="12.5703125" customWidth="1" style="77" min="5" max="6"/>
  </cols>
  <sheetData>
    <row r="1" ht="15.75" customHeight="1" s="77">
      <c r="A1" s="21" t="n"/>
      <c r="B1" s="138" t="n"/>
      <c r="C1" s="139" t="n"/>
      <c r="D1" s="6" t="inlineStr">
        <is>
          <t>Tâches</t>
        </is>
      </c>
      <c r="E1" s="6" t="inlineStr">
        <is>
          <t>Estimation en jours</t>
        </is>
      </c>
    </row>
    <row r="2" ht="15.75" customHeight="1" s="77">
      <c r="A2" s="28" t="inlineStr">
        <is>
          <t>Préparation</t>
        </is>
      </c>
      <c r="B2" s="140" t="n"/>
      <c r="C2" s="141" t="n"/>
      <c r="D2" s="16" t="inlineStr">
        <is>
          <t>Étude et prise en main du projet</t>
        </is>
      </c>
      <c r="E2" s="18" t="n">
        <v>4</v>
      </c>
    </row>
    <row r="3" ht="15.75" customHeight="1" s="77">
      <c r="A3" s="142" t="n"/>
      <c r="C3" s="143" t="n"/>
      <c r="D3" s="16" t="inlineStr">
        <is>
          <t>Développement des compétences nécessaires</t>
        </is>
      </c>
      <c r="E3" s="18" t="n">
        <v>1</v>
      </c>
    </row>
    <row r="4" ht="15.75" customHeight="1" s="77">
      <c r="A4" s="142" t="n"/>
      <c r="C4" s="143" t="n"/>
      <c r="D4" s="16" t="inlineStr">
        <is>
          <t>Installation des environnements</t>
        </is>
      </c>
      <c r="E4" s="18" t="n">
        <v>1</v>
      </c>
    </row>
    <row r="5" ht="15.75" customHeight="1" s="77">
      <c r="A5" s="142" t="n"/>
      <c r="C5" s="143" t="n"/>
      <c r="D5" s="16" t="inlineStr">
        <is>
          <t>Analyse et conception</t>
        </is>
      </c>
      <c r="E5" s="21" t="n"/>
    </row>
    <row r="6" ht="15.75" customHeight="1" s="77">
      <c r="A6" s="142" t="n"/>
      <c r="C6" s="143" t="n"/>
      <c r="D6" s="13" t="inlineStr">
        <is>
          <t>Analyse, conception</t>
        </is>
      </c>
      <c r="E6" s="12" t="n">
        <v>4</v>
      </c>
    </row>
    <row r="7" ht="15.75" customHeight="1" s="77">
      <c r="A7" s="142" t="n"/>
      <c r="C7" s="143" t="n"/>
      <c r="D7" s="16" t="inlineStr">
        <is>
          <t>Design</t>
        </is>
      </c>
      <c r="E7" s="21" t="n"/>
    </row>
    <row r="8" ht="15.75" customHeight="1" s="77">
      <c r="A8" s="142" t="n"/>
      <c r="C8" s="143" t="n"/>
      <c r="D8" s="13" t="inlineStr">
        <is>
          <t>Création des pages</t>
        </is>
      </c>
      <c r="E8" s="12" t="n">
        <v>4</v>
      </c>
    </row>
    <row r="9" ht="15.75" customHeight="1" s="77">
      <c r="A9" s="144" t="n"/>
      <c r="B9" s="145" t="n"/>
      <c r="C9" s="146" t="n"/>
      <c r="D9" s="18" t="inlineStr">
        <is>
          <t>Sous Total</t>
        </is>
      </c>
      <c r="E9" s="18">
        <f>SUM(E2:E8)</f>
        <v/>
      </c>
    </row>
    <row r="10" ht="15.75" customHeight="1" s="77">
      <c r="A10" s="28" t="inlineStr">
        <is>
          <t>Développement</t>
        </is>
      </c>
      <c r="B10" s="140" t="n"/>
      <c r="C10" s="141" t="n"/>
      <c r="D10" s="25" t="inlineStr">
        <is>
          <t>Gestion d'utilisateur</t>
        </is>
      </c>
      <c r="E10" s="21" t="n"/>
    </row>
    <row r="11" ht="15.75" customHeight="1" s="77">
      <c r="A11" s="142" t="n"/>
      <c r="C11" s="143" t="n"/>
      <c r="D11" s="13" t="inlineStr">
        <is>
          <t>Récupération des données utilisateurs dans AD ou GLPI</t>
        </is>
      </c>
      <c r="E11" s="12" t="n">
        <v>3</v>
      </c>
    </row>
    <row r="12" ht="15.75" customHeight="1" s="77">
      <c r="A12" s="142" t="n"/>
      <c r="C12" s="143" t="n"/>
      <c r="D12" s="13" t="inlineStr">
        <is>
          <t>Connexion profil</t>
        </is>
      </c>
      <c r="E12" s="12" t="n">
        <v>2</v>
      </c>
    </row>
    <row r="13" ht="15.75" customHeight="1" s="77">
      <c r="A13" s="142" t="n"/>
      <c r="C13" s="143" t="n"/>
      <c r="D13" s="13" t="inlineStr">
        <is>
          <t>Gestion permission</t>
        </is>
      </c>
      <c r="E13" s="12" t="n">
        <v>3</v>
      </c>
    </row>
    <row r="14" ht="15.75" customHeight="1" s="77">
      <c r="A14" s="142" t="n"/>
      <c r="C14" s="143" t="n"/>
      <c r="D14" s="3" t="inlineStr">
        <is>
          <t>Visualisation de profil</t>
        </is>
      </c>
      <c r="E14" s="12" t="n">
        <v>1</v>
      </c>
    </row>
    <row r="15" ht="15.75" customHeight="1" s="77">
      <c r="A15" s="142" t="n"/>
      <c r="C15" s="143" t="n"/>
      <c r="D15" s="25" t="inlineStr">
        <is>
          <t>Paramétrage</t>
        </is>
      </c>
      <c r="E15" s="21" t="n"/>
    </row>
    <row r="16" ht="15.75" customHeight="1" s="77">
      <c r="A16" s="142" t="n"/>
      <c r="C16" s="143" t="n"/>
      <c r="D16" s="13" t="inlineStr">
        <is>
          <t>CRUD Type de Compte</t>
        </is>
      </c>
      <c r="E16" s="12" t="n">
        <v>1</v>
      </c>
    </row>
    <row r="17" ht="15.75" customHeight="1" s="77">
      <c r="A17" s="142" t="n"/>
      <c r="C17" s="143" t="n"/>
      <c r="D17" s="13" t="inlineStr">
        <is>
          <t>CRUD Utilisateurs</t>
        </is>
      </c>
      <c r="E17" s="12" t="n">
        <v>1</v>
      </c>
    </row>
    <row r="18" ht="15.75" customHeight="1" s="77">
      <c r="A18" s="142" t="n"/>
      <c r="C18" s="143" t="n"/>
      <c r="D18" s="13" t="inlineStr">
        <is>
          <t>CRUD Demande</t>
        </is>
      </c>
      <c r="E18" s="12" t="n">
        <v>2</v>
      </c>
    </row>
    <row r="19" ht="15.75" customHeight="1" s="77">
      <c r="A19" s="142" t="n"/>
      <c r="C19" s="143" t="n"/>
      <c r="D19" s="13" t="inlineStr">
        <is>
          <t>CRUD Type de Demande</t>
        </is>
      </c>
      <c r="E19" s="12" t="n">
        <v>1</v>
      </c>
    </row>
    <row r="20" ht="15.75" customHeight="1" s="77">
      <c r="A20" s="142" t="n"/>
      <c r="C20" s="143" t="n"/>
      <c r="D20" s="13" t="inlineStr">
        <is>
          <t>CRUD Diagnostics</t>
        </is>
      </c>
      <c r="E20" s="12" t="n">
        <v>2</v>
      </c>
    </row>
    <row r="21" ht="15.75" customHeight="1" s="77">
      <c r="A21" s="142" t="n"/>
      <c r="C21" s="143" t="n"/>
      <c r="D21" s="25" t="inlineStr">
        <is>
          <t>Gestion des Demandes</t>
        </is>
      </c>
      <c r="E21" s="21" t="n"/>
    </row>
    <row r="22" ht="15.75" customHeight="1" s="77">
      <c r="A22" s="142" t="n"/>
      <c r="C22" s="143" t="n"/>
      <c r="D22" s="13" t="inlineStr">
        <is>
          <t>Upload d'image dans l'ajout des tickets</t>
        </is>
      </c>
      <c r="E22" s="12" t="n">
        <v>1</v>
      </c>
    </row>
    <row r="23" ht="15.75" customHeight="1" s="77">
      <c r="A23" s="142" t="n"/>
      <c r="C23" s="143" t="n"/>
      <c r="D23" s="13" t="inlineStr">
        <is>
          <t>Diagnostic des demandes</t>
        </is>
      </c>
      <c r="E23" s="12" t="n">
        <v>2</v>
      </c>
    </row>
    <row r="24" ht="15.75" customHeight="1" s="77">
      <c r="A24" s="142" t="n"/>
      <c r="C24" s="143" t="n"/>
      <c r="D24" s="13" t="inlineStr">
        <is>
          <t>Validation ou refus des tickets</t>
        </is>
      </c>
      <c r="E24" s="12" t="n">
        <v>2</v>
      </c>
    </row>
    <row r="25" ht="15.75" customHeight="1" s="77">
      <c r="A25" s="142" t="n"/>
      <c r="C25" s="143" t="n"/>
      <c r="D25" s="13" t="inlineStr">
        <is>
          <t>Assignation avec délai du demande</t>
        </is>
      </c>
      <c r="E25" s="12" t="n">
        <v>2</v>
      </c>
    </row>
    <row r="26" ht="15.75" customHeight="1" s="77">
      <c r="A26" s="142" t="n"/>
      <c r="C26" s="143" t="n"/>
      <c r="D26" s="13" t="inlineStr">
        <is>
          <t>Saisie de l'intervention avec durée</t>
        </is>
      </c>
      <c r="E26" s="12" t="n">
        <v>3</v>
      </c>
    </row>
    <row r="27" ht="15.75" customHeight="1" s="77">
      <c r="A27" s="142" t="n"/>
      <c r="C27" s="143" t="n"/>
      <c r="D27" s="29" t="inlineStr">
        <is>
          <t>Gestion des retours de satisfaction des utilisateurs avec clôture de la demande</t>
        </is>
      </c>
      <c r="E27" s="12" t="n">
        <v>2</v>
      </c>
    </row>
    <row r="28" ht="15.75" customHeight="1" s="77">
      <c r="A28" s="142" t="n"/>
      <c r="C28" s="143" t="n"/>
      <c r="D28" s="30" t="inlineStr">
        <is>
          <t>Vue détaillé de chaque demande</t>
        </is>
      </c>
      <c r="E28" s="12" t="n">
        <v>2</v>
      </c>
    </row>
    <row r="29" ht="15.75" customHeight="1" s="77">
      <c r="A29" s="142" t="n"/>
      <c r="C29" s="143" t="n"/>
      <c r="D29" s="25" t="inlineStr">
        <is>
          <t>Suivi des Demandes</t>
        </is>
      </c>
      <c r="E29" s="21" t="n"/>
    </row>
    <row r="30" ht="15.75" customHeight="1" s="77">
      <c r="A30" s="142" t="n"/>
      <c r="C30" s="143" t="n"/>
      <c r="D30" s="13" t="inlineStr">
        <is>
          <t>Generation de rapport sur les demandes en format PDF</t>
        </is>
      </c>
      <c r="E30" s="12" t="n">
        <v>2</v>
      </c>
    </row>
    <row r="31" ht="15.75" customHeight="1" s="77">
      <c r="A31" s="142" t="n"/>
      <c r="C31" s="143" t="n"/>
      <c r="D31" s="13" t="inlineStr">
        <is>
          <t>Filtrage par statut des demandes</t>
        </is>
      </c>
      <c r="E31" s="12" t="n">
        <v>1</v>
      </c>
    </row>
    <row r="32" ht="15.75" customHeight="1" s="77">
      <c r="A32" s="142" t="n"/>
      <c r="C32" s="143" t="n"/>
      <c r="D32" s="13" t="inlineStr">
        <is>
          <t>Recherche multicritere</t>
        </is>
      </c>
      <c r="E32" s="12" t="n">
        <v>1</v>
      </c>
    </row>
    <row r="33" ht="15.75" customHeight="1" s="77">
      <c r="A33" s="142" t="n"/>
      <c r="C33" s="143" t="n"/>
      <c r="D33" s="13" t="inlineStr">
        <is>
          <t>Recherche entre deux dates</t>
        </is>
      </c>
      <c r="E33" s="12" t="n">
        <v>1</v>
      </c>
    </row>
    <row r="34" ht="15.75" customHeight="1" s="77">
      <c r="A34" s="142" t="n"/>
      <c r="C34" s="143" t="n"/>
      <c r="D34" s="25" t="inlineStr">
        <is>
          <t>Etats d'analyse et statistiques</t>
        </is>
      </c>
      <c r="E34" s="21" t="n"/>
    </row>
    <row r="35" ht="15.75" customHeight="1" s="77">
      <c r="A35" s="142" t="n"/>
      <c r="C35" s="143" t="n"/>
      <c r="D35" s="13" t="inlineStr">
        <is>
          <t>Nombre de ticket par statut</t>
        </is>
      </c>
      <c r="E35" s="12" t="n">
        <v>2</v>
      </c>
    </row>
    <row r="36" ht="15.75" customHeight="1" s="77">
      <c r="A36" s="142" t="n"/>
      <c r="C36" s="143" t="n"/>
      <c r="D36" s="3" t="inlineStr">
        <is>
          <t>Total des tickets</t>
        </is>
      </c>
      <c r="E36" s="12" t="n">
        <v>1</v>
      </c>
    </row>
    <row r="37" ht="15.75" customHeight="1" s="77">
      <c r="A37" s="142" t="n"/>
      <c r="C37" s="143" t="n"/>
      <c r="D37" s="13" t="inlineStr">
        <is>
          <t>Chart graphique</t>
        </is>
      </c>
      <c r="E37" s="12" t="n">
        <v>2</v>
      </c>
    </row>
    <row r="38" ht="15.75" customHeight="1" s="77">
      <c r="A38" s="142" t="n"/>
      <c r="C38" s="143" t="n"/>
      <c r="D38" s="13" t="inlineStr">
        <is>
          <t>Suivi des tickets en retard</t>
        </is>
      </c>
      <c r="E38" s="12" t="n">
        <v>2</v>
      </c>
    </row>
    <row r="39" ht="15.75" customHeight="1" s="77">
      <c r="A39" s="142" t="n"/>
      <c r="C39" s="143" t="n"/>
      <c r="D39" s="13" t="inlineStr">
        <is>
          <t>Système de notification par e-mail</t>
        </is>
      </c>
      <c r="E39" s="12" t="n">
        <v>2</v>
      </c>
    </row>
    <row r="40" ht="15.75" customHeight="1" s="77">
      <c r="A40" s="144" t="n"/>
      <c r="B40" s="145" t="n"/>
      <c r="C40" s="146" t="n"/>
      <c r="D40" s="19" t="inlineStr">
        <is>
          <t>Sous Total</t>
        </is>
      </c>
      <c r="E40" s="18">
        <f>SUM(E10:E39)</f>
        <v/>
      </c>
    </row>
    <row r="41" ht="15.75" customHeight="1" s="77">
      <c r="A41" s="28" t="inlineStr">
        <is>
          <t>Tests</t>
        </is>
      </c>
      <c r="B41" s="138" t="n"/>
      <c r="C41" s="139" t="n"/>
      <c r="D41" s="13" t="inlineStr">
        <is>
          <t>Tests et corrections</t>
        </is>
      </c>
      <c r="E41" s="12" t="n">
        <v>2</v>
      </c>
    </row>
    <row r="42" ht="15.75" customHeight="1" s="77">
      <c r="A42" s="28" t="inlineStr">
        <is>
          <t>Déploiement</t>
        </is>
      </c>
      <c r="B42" s="138" t="n"/>
      <c r="C42" s="139" t="n"/>
      <c r="D42" s="13" t="inlineStr">
        <is>
          <t>Déploiement local et cloud</t>
        </is>
      </c>
      <c r="E42" s="12" t="n">
        <v>1</v>
      </c>
    </row>
    <row r="43" ht="15.75" customHeight="1" s="77">
      <c r="A43" s="28" t="inlineStr">
        <is>
          <t>Formation</t>
        </is>
      </c>
      <c r="B43" s="140" t="n"/>
      <c r="C43" s="141" t="n"/>
      <c r="D43" s="13" t="inlineStr">
        <is>
          <t>Rédaction manuel d'utilisation</t>
        </is>
      </c>
      <c r="E43" s="12" t="n">
        <v>1</v>
      </c>
    </row>
    <row r="44" ht="15.75" customHeight="1" s="77">
      <c r="A44" s="144" t="n"/>
      <c r="B44" s="145" t="n"/>
      <c r="C44" s="146" t="n"/>
      <c r="D44" s="13" t="inlineStr">
        <is>
          <t>Formation utilisateur</t>
        </is>
      </c>
      <c r="E44" s="12" t="n">
        <v>1</v>
      </c>
    </row>
    <row r="45" ht="15.75" customHeight="1" s="77">
      <c r="A45" s="28" t="inlineStr">
        <is>
          <t>Gestion de projet</t>
        </is>
      </c>
      <c r="B45" s="138" t="n"/>
      <c r="C45" s="139" t="n"/>
      <c r="D45" s="13" t="inlineStr">
        <is>
          <t>Gestion de projet</t>
        </is>
      </c>
      <c r="E45" s="12" t="n">
        <v>2</v>
      </c>
    </row>
    <row r="46" ht="15.75" customHeight="1" s="77">
      <c r="A46" s="3" t="n"/>
      <c r="B46" s="3" t="n"/>
      <c r="C46" s="3" t="n"/>
      <c r="D46" s="3" t="n"/>
      <c r="E46" s="33">
        <f>SUM(E41:E45)+E40+E9</f>
        <v/>
      </c>
    </row>
    <row r="47" ht="15.75" customHeight="1" s="77"/>
    <row r="48" ht="15.75" customHeight="1" s="77"/>
    <row r="49" ht="15.75" customHeight="1" s="77"/>
    <row r="50" ht="15.75" customHeight="1" s="77"/>
    <row r="51" ht="15.75" customHeight="1" s="77"/>
    <row r="52" ht="15.75" customHeight="1" s="77"/>
    <row r="53" ht="15.75" customHeight="1" s="77"/>
    <row r="54" ht="15.75" customHeight="1" s="77"/>
    <row r="55" ht="15.75" customHeight="1" s="77"/>
    <row r="56" ht="15.75" customHeight="1" s="77"/>
    <row r="57" ht="15.75" customHeight="1" s="77"/>
    <row r="58" ht="15.75" customHeight="1" s="77"/>
    <row r="59" ht="15.75" customHeight="1" s="77"/>
    <row r="60" ht="15.75" customHeight="1" s="77"/>
    <row r="61" ht="15.75" customHeight="1" s="77"/>
    <row r="62" ht="15.75" customHeight="1" s="77"/>
    <row r="63" ht="15.75" customHeight="1" s="77"/>
    <row r="64" ht="15.75" customHeight="1" s="77"/>
    <row r="65" ht="15.75" customHeight="1" s="77"/>
    <row r="66" ht="15.75" customHeight="1" s="77"/>
    <row r="67" ht="15.75" customHeight="1" s="77"/>
    <row r="68" ht="15.75" customHeight="1" s="77"/>
    <row r="69" ht="15.75" customHeight="1" s="77"/>
    <row r="70" ht="15.75" customHeight="1" s="77"/>
    <row r="71" ht="15.75" customHeight="1" s="77"/>
    <row r="72" ht="15.75" customHeight="1" s="77"/>
    <row r="73" ht="15.75" customHeight="1" s="77"/>
    <row r="74" ht="15.75" customHeight="1" s="77"/>
    <row r="75" ht="15.75" customHeight="1" s="77"/>
    <row r="76" ht="15.75" customHeight="1" s="77"/>
    <row r="77" ht="15.75" customHeight="1" s="77"/>
    <row r="78" ht="15.75" customHeight="1" s="77"/>
    <row r="79" ht="15.75" customHeight="1" s="77"/>
    <row r="80" ht="15.75" customHeight="1" s="77"/>
    <row r="81" ht="15.75" customHeight="1" s="77"/>
    <row r="82" ht="15.75" customHeight="1" s="77"/>
    <row r="83" ht="15.75" customHeight="1" s="77"/>
    <row r="84" ht="15.75" customHeight="1" s="77"/>
    <row r="85" ht="15.75" customHeight="1" s="77"/>
    <row r="86" ht="15.75" customHeight="1" s="77"/>
    <row r="87" ht="15.75" customHeight="1" s="77"/>
    <row r="88" ht="15.75" customHeight="1" s="77"/>
    <row r="89" ht="15.75" customHeight="1" s="77"/>
    <row r="90" ht="15.75" customHeight="1" s="77"/>
    <row r="91" ht="15.75" customHeight="1" s="77"/>
    <row r="92" ht="15.75" customHeight="1" s="77"/>
    <row r="93" ht="15.75" customHeight="1" s="77"/>
    <row r="94" ht="15.75" customHeight="1" s="77"/>
    <row r="95" ht="15.75" customHeight="1" s="77"/>
    <row r="96" ht="15.75" customHeight="1" s="77"/>
    <row r="97" ht="15.75" customHeight="1" s="77"/>
    <row r="98" ht="15.75" customHeight="1" s="77"/>
    <row r="99" ht="15.75" customHeight="1" s="77"/>
    <row r="100" ht="15.75" customHeight="1" s="77"/>
    <row r="101" ht="15.75" customHeight="1" s="77"/>
    <row r="102" ht="15.75" customHeight="1" s="77"/>
    <row r="103" ht="15.75" customHeight="1" s="77"/>
    <row r="104" ht="15.75" customHeight="1" s="77"/>
    <row r="105" ht="15.75" customHeight="1" s="77"/>
    <row r="106" ht="15.75" customHeight="1" s="77"/>
    <row r="107" ht="15.75" customHeight="1" s="77"/>
    <row r="108" ht="15.75" customHeight="1" s="77"/>
    <row r="109" ht="15.75" customHeight="1" s="77"/>
    <row r="110" ht="15.75" customHeight="1" s="77"/>
    <row r="111" ht="15.75" customHeight="1" s="77"/>
    <row r="112" ht="15.75" customHeight="1" s="77"/>
    <row r="113" ht="15.75" customHeight="1" s="77"/>
    <row r="114" ht="15.75" customHeight="1" s="77"/>
    <row r="115" ht="15.75" customHeight="1" s="77"/>
    <row r="116" ht="15.75" customHeight="1" s="77"/>
    <row r="117" ht="15.75" customHeight="1" s="77"/>
    <row r="118" ht="15.75" customHeight="1" s="77"/>
    <row r="119" ht="15.75" customHeight="1" s="77"/>
    <row r="120" ht="15.75" customHeight="1" s="77"/>
    <row r="121" ht="15.75" customHeight="1" s="77"/>
    <row r="122" ht="15.75" customHeight="1" s="77"/>
    <row r="123" ht="15.75" customHeight="1" s="77"/>
    <row r="124" ht="15.75" customHeight="1" s="77"/>
    <row r="125" ht="15.75" customHeight="1" s="77"/>
    <row r="126" ht="15.75" customHeight="1" s="77"/>
    <row r="127" ht="15.75" customHeight="1" s="77"/>
    <row r="128" ht="15.75" customHeight="1" s="77"/>
    <row r="129" ht="15.75" customHeight="1" s="77"/>
    <row r="130" ht="15.75" customHeight="1" s="77"/>
    <row r="131" ht="15.75" customHeight="1" s="77"/>
    <row r="132" ht="15.75" customHeight="1" s="77"/>
    <row r="133" ht="15.75" customHeight="1" s="77"/>
    <row r="134" ht="15.75" customHeight="1" s="77"/>
    <row r="135" ht="15.75" customHeight="1" s="77"/>
    <row r="136" ht="15.75" customHeight="1" s="77"/>
    <row r="137" ht="15.75" customHeight="1" s="77"/>
    <row r="138" ht="15.75" customHeight="1" s="77"/>
    <row r="139" ht="15.75" customHeight="1" s="77"/>
    <row r="140" ht="15.75" customHeight="1" s="77"/>
    <row r="141" ht="15.75" customHeight="1" s="77"/>
    <row r="142" ht="15.75" customHeight="1" s="77"/>
    <row r="143" ht="15.75" customHeight="1" s="77"/>
    <row r="144" ht="15.75" customHeight="1" s="77"/>
    <row r="145" ht="15.75" customHeight="1" s="77"/>
    <row r="146" ht="15.75" customHeight="1" s="77"/>
    <row r="147" ht="15.75" customHeight="1" s="77"/>
    <row r="148" ht="15.75" customHeight="1" s="77"/>
    <row r="149" ht="15.75" customHeight="1" s="77"/>
    <row r="150" ht="15.75" customHeight="1" s="77"/>
    <row r="151" ht="15.75" customHeight="1" s="77"/>
    <row r="152" ht="15.75" customHeight="1" s="77"/>
    <row r="153" ht="15.75" customHeight="1" s="77"/>
    <row r="154" ht="15.75" customHeight="1" s="77"/>
    <row r="155" ht="15.75" customHeight="1" s="77"/>
    <row r="156" ht="15.75" customHeight="1" s="77"/>
    <row r="157" ht="15.75" customHeight="1" s="77"/>
    <row r="158" ht="15.75" customHeight="1" s="77"/>
    <row r="159" ht="15.75" customHeight="1" s="77"/>
    <row r="160" ht="15.75" customHeight="1" s="77"/>
    <row r="161" ht="15.75" customHeight="1" s="77"/>
    <row r="162" ht="15.75" customHeight="1" s="77"/>
    <row r="163" ht="15.75" customHeight="1" s="77"/>
    <row r="164" ht="15.75" customHeight="1" s="77"/>
    <row r="165" ht="15.75" customHeight="1" s="77"/>
    <row r="166" ht="15.75" customHeight="1" s="77"/>
    <row r="167" ht="15.75" customHeight="1" s="77"/>
    <row r="168" ht="15.75" customHeight="1" s="77"/>
    <row r="169" ht="15.75" customHeight="1" s="77"/>
    <row r="170" ht="15.75" customHeight="1" s="77"/>
    <row r="171" ht="15.75" customHeight="1" s="77"/>
    <row r="172" ht="15.75" customHeight="1" s="77"/>
    <row r="173" ht="15.75" customHeight="1" s="77"/>
    <row r="174" ht="15.75" customHeight="1" s="77"/>
    <row r="175" ht="15.75" customHeight="1" s="77"/>
    <row r="176" ht="15.75" customHeight="1" s="77"/>
    <row r="177" ht="15.75" customHeight="1" s="77"/>
    <row r="178" ht="15.75" customHeight="1" s="77"/>
    <row r="179" ht="15.75" customHeight="1" s="77"/>
    <row r="180" ht="15.75" customHeight="1" s="77"/>
    <row r="181" ht="15.75" customHeight="1" s="77"/>
    <row r="182" ht="15.75" customHeight="1" s="77"/>
    <row r="183" ht="15.75" customHeight="1" s="77"/>
    <row r="184" ht="15.75" customHeight="1" s="77"/>
    <row r="185" ht="15.75" customHeight="1" s="77"/>
    <row r="186" ht="15.75" customHeight="1" s="77"/>
    <row r="187" ht="15.75" customHeight="1" s="77"/>
    <row r="188" ht="15.75" customHeight="1" s="77"/>
    <row r="189" ht="15.75" customHeight="1" s="77"/>
    <row r="190" ht="15.75" customHeight="1" s="77"/>
    <row r="191" ht="15.75" customHeight="1" s="77"/>
    <row r="192" ht="15.75" customHeight="1" s="77"/>
    <row r="193" ht="15.75" customHeight="1" s="77"/>
    <row r="194" ht="15.75" customHeight="1" s="77"/>
    <row r="195" ht="15.75" customHeight="1" s="77"/>
    <row r="196" ht="15.75" customHeight="1" s="77"/>
    <row r="197" ht="15.75" customHeight="1" s="77"/>
    <row r="198" ht="15.75" customHeight="1" s="77"/>
    <row r="199" ht="15.75" customHeight="1" s="77"/>
    <row r="200" ht="15.75" customHeight="1" s="77"/>
    <row r="201" ht="15.75" customHeight="1" s="77"/>
    <row r="202" ht="15.75" customHeight="1" s="77"/>
    <row r="203" ht="15.75" customHeight="1" s="77"/>
    <row r="204" ht="15.75" customHeight="1" s="77"/>
    <row r="205" ht="15.75" customHeight="1" s="77"/>
    <row r="206" ht="15.75" customHeight="1" s="77"/>
    <row r="207" ht="15.75" customHeight="1" s="77"/>
    <row r="208" ht="15.75" customHeight="1" s="77"/>
    <row r="209" ht="15.75" customHeight="1" s="77"/>
    <row r="210" ht="15.75" customHeight="1" s="77"/>
    <row r="211" ht="15.75" customHeight="1" s="77"/>
    <row r="212" ht="15.75" customHeight="1" s="77"/>
    <row r="213" ht="15.75" customHeight="1" s="77"/>
    <row r="214" ht="15.75" customHeight="1" s="77"/>
    <row r="215" ht="15.75" customHeight="1" s="77"/>
    <row r="216" ht="15.75" customHeight="1" s="77"/>
    <row r="217" ht="15.75" customHeight="1" s="77"/>
    <row r="218" ht="15.75" customHeight="1" s="77"/>
    <row r="219" ht="15.75" customHeight="1" s="77"/>
    <row r="220" ht="15.75" customHeight="1" s="77"/>
    <row r="221" ht="15.75" customHeight="1" s="77"/>
    <row r="222" ht="15.75" customHeight="1" s="77"/>
    <row r="223" ht="15.75" customHeight="1" s="77"/>
    <row r="224" ht="15.75" customHeight="1" s="77"/>
    <row r="225" ht="15.75" customHeight="1" s="77"/>
    <row r="226" ht="15.75" customHeight="1" s="77"/>
    <row r="227" ht="15.75" customHeight="1" s="77"/>
    <row r="228" ht="15.75" customHeight="1" s="77"/>
    <row r="229" ht="15.75" customHeight="1" s="77"/>
    <row r="230" ht="15.75" customHeight="1" s="77"/>
    <row r="231" ht="15.75" customHeight="1" s="77"/>
    <row r="232" ht="15.75" customHeight="1" s="77"/>
    <row r="233" ht="15.75" customHeight="1" s="77"/>
    <row r="234" ht="15.75" customHeight="1" s="77"/>
    <row r="235" ht="15.75" customHeight="1" s="77"/>
    <row r="236" ht="15.75" customHeight="1" s="77"/>
    <row r="237" ht="15.75" customHeight="1" s="77"/>
    <row r="238" ht="15.75" customHeight="1" s="77"/>
    <row r="239" ht="15.75" customHeight="1" s="77"/>
    <row r="240" ht="15.75" customHeight="1" s="77"/>
    <row r="241" ht="15.75" customHeight="1" s="77"/>
    <row r="242" ht="15.75" customHeight="1" s="77"/>
    <row r="243" ht="15.75" customHeight="1" s="77"/>
    <row r="244" ht="15.75" customHeight="1" s="77"/>
    <row r="245" ht="15.75" customHeight="1" s="77"/>
    <row r="246" ht="15.75" customHeight="1" s="77"/>
    <row r="247" ht="15.75" customHeight="1" s="77"/>
    <row r="248" ht="15.75" customHeight="1" s="77"/>
    <row r="249" ht="15.75" customHeight="1" s="77"/>
    <row r="250" ht="15.75" customHeight="1" s="77"/>
    <row r="251" ht="15.75" customHeight="1" s="77"/>
    <row r="252" ht="15.75" customHeight="1" s="77"/>
    <row r="253" ht="15.75" customHeight="1" s="77"/>
    <row r="254" ht="15.75" customHeight="1" s="77"/>
    <row r="255" ht="15.75" customHeight="1" s="77"/>
    <row r="256" ht="15.75" customHeight="1" s="77"/>
    <row r="257" ht="15.75" customHeight="1" s="77"/>
    <row r="258" ht="15.75" customHeight="1" s="77"/>
    <row r="259" ht="15.75" customHeight="1" s="77"/>
    <row r="260" ht="15.75" customHeight="1" s="77"/>
    <row r="261" ht="15.75" customHeight="1" s="77"/>
    <row r="262" ht="15.75" customHeight="1" s="77"/>
    <row r="263" ht="15.75" customHeight="1" s="77"/>
    <row r="264" ht="15.75" customHeight="1" s="77"/>
    <row r="265" ht="15.75" customHeight="1" s="77"/>
    <row r="266" ht="15.75" customHeight="1" s="77"/>
    <row r="267" ht="15.75" customHeight="1" s="77"/>
    <row r="268" ht="15.75" customHeight="1" s="77"/>
    <row r="269" ht="15.75" customHeight="1" s="77"/>
    <row r="270" ht="15.75" customHeight="1" s="77"/>
    <row r="271" ht="15.75" customHeight="1" s="77"/>
    <row r="272" ht="15.75" customHeight="1" s="77"/>
    <row r="273" ht="15.75" customHeight="1" s="77"/>
    <row r="274" ht="15.75" customHeight="1" s="77"/>
    <row r="275" ht="15.75" customHeight="1" s="77"/>
    <row r="276" ht="15.75" customHeight="1" s="77"/>
    <row r="277" ht="15.75" customHeight="1" s="77"/>
    <row r="278" ht="15.75" customHeight="1" s="77"/>
    <row r="279" ht="15.75" customHeight="1" s="77"/>
    <row r="280" ht="15.75" customHeight="1" s="77"/>
    <row r="281" ht="15.75" customHeight="1" s="77"/>
    <row r="282" ht="15.75" customHeight="1" s="77"/>
    <row r="283" ht="15.75" customHeight="1" s="77"/>
    <row r="284" ht="15.75" customHeight="1" s="77"/>
    <row r="285" ht="15.75" customHeight="1" s="77"/>
    <row r="286" ht="15.75" customHeight="1" s="77"/>
    <row r="287" ht="15.75" customHeight="1" s="77"/>
    <row r="288" ht="15.75" customHeight="1" s="77"/>
    <row r="289" ht="15.75" customHeight="1" s="77"/>
    <row r="290" ht="15.75" customHeight="1" s="77"/>
    <row r="291" ht="15.75" customHeight="1" s="77"/>
    <row r="292" ht="15.75" customHeight="1" s="77"/>
    <row r="293" ht="15.75" customHeight="1" s="77"/>
    <row r="294" ht="15.75" customHeight="1" s="77"/>
    <row r="295" ht="15.75" customHeight="1" s="77"/>
    <row r="296" ht="15.75" customHeight="1" s="77"/>
    <row r="297" ht="15.75" customHeight="1" s="77"/>
    <row r="298" ht="15.75" customHeight="1" s="77"/>
    <row r="299" ht="15.75" customHeight="1" s="77"/>
    <row r="300" ht="15.75" customHeight="1" s="77"/>
    <row r="301" ht="15.75" customHeight="1" s="77"/>
    <row r="302" ht="15.75" customHeight="1" s="77"/>
    <row r="303" ht="15.75" customHeight="1" s="77"/>
    <row r="304" ht="15.75" customHeight="1" s="77"/>
    <row r="305" ht="15.75" customHeight="1" s="77"/>
    <row r="306" ht="15.75" customHeight="1" s="77"/>
    <row r="307" ht="15.75" customHeight="1" s="77"/>
    <row r="308" ht="15.75" customHeight="1" s="77"/>
    <row r="309" ht="15.75" customHeight="1" s="77"/>
    <row r="310" ht="15.75" customHeight="1" s="77"/>
    <row r="311" ht="15.75" customHeight="1" s="77"/>
    <row r="312" ht="15.75" customHeight="1" s="77"/>
    <row r="313" ht="15.75" customHeight="1" s="77"/>
    <row r="314" ht="15.75" customHeight="1" s="77"/>
    <row r="315" ht="15.75" customHeight="1" s="77"/>
    <row r="316" ht="15.75" customHeight="1" s="77"/>
    <row r="317" ht="15.75" customHeight="1" s="77"/>
    <row r="318" ht="15.75" customHeight="1" s="77"/>
    <row r="319" ht="15.75" customHeight="1" s="77"/>
    <row r="320" ht="15.75" customHeight="1" s="77"/>
    <row r="321" ht="15.75" customHeight="1" s="77"/>
    <row r="322" ht="15.75" customHeight="1" s="77"/>
    <row r="323" ht="15.75" customHeight="1" s="77"/>
    <row r="324" ht="15.75" customHeight="1" s="77"/>
    <row r="325" ht="15.75" customHeight="1" s="77"/>
    <row r="326" ht="15.75" customHeight="1" s="77"/>
    <row r="327" ht="15.75" customHeight="1" s="77"/>
    <row r="328" ht="15.75" customHeight="1" s="77"/>
    <row r="329" ht="15.75" customHeight="1" s="77"/>
    <row r="330" ht="15.75" customHeight="1" s="77"/>
    <row r="331" ht="15.75" customHeight="1" s="77"/>
    <row r="332" ht="15.75" customHeight="1" s="77"/>
    <row r="333" ht="15.75" customHeight="1" s="77"/>
    <row r="334" ht="15.75" customHeight="1" s="77"/>
    <row r="335" ht="15.75" customHeight="1" s="77"/>
    <row r="336" ht="15.75" customHeight="1" s="77"/>
    <row r="337" ht="15.75" customHeight="1" s="77"/>
    <row r="338" ht="15.75" customHeight="1" s="77"/>
    <row r="339" ht="15.75" customHeight="1" s="77"/>
    <row r="340" ht="15.75" customHeight="1" s="77"/>
    <row r="341" ht="15.75" customHeight="1" s="77"/>
    <row r="342" ht="15.75" customHeight="1" s="77"/>
    <row r="343" ht="15.75" customHeight="1" s="77"/>
    <row r="344" ht="15.75" customHeight="1" s="77"/>
    <row r="345" ht="15.75" customHeight="1" s="77"/>
    <row r="346" ht="15.75" customHeight="1" s="77"/>
    <row r="347" ht="15.75" customHeight="1" s="77"/>
    <row r="348" ht="15.75" customHeight="1" s="77"/>
    <row r="349" ht="15.75" customHeight="1" s="77"/>
    <row r="350" ht="15.75" customHeight="1" s="77"/>
    <row r="351" ht="15.75" customHeight="1" s="77"/>
    <row r="352" ht="15.75" customHeight="1" s="77"/>
    <row r="353" ht="15.75" customHeight="1" s="77"/>
    <row r="354" ht="15.75" customHeight="1" s="77"/>
    <row r="355" ht="15.75" customHeight="1" s="77"/>
    <row r="356" ht="15.75" customHeight="1" s="77"/>
    <row r="357" ht="15.75" customHeight="1" s="77"/>
    <row r="358" ht="15.75" customHeight="1" s="77"/>
    <row r="359" ht="15.75" customHeight="1" s="77"/>
    <row r="360" ht="15.75" customHeight="1" s="77"/>
    <row r="361" ht="15.75" customHeight="1" s="77"/>
    <row r="362" ht="15.75" customHeight="1" s="77"/>
    <row r="363" ht="15.75" customHeight="1" s="77"/>
    <row r="364" ht="15.75" customHeight="1" s="77"/>
    <row r="365" ht="15.75" customHeight="1" s="77"/>
    <row r="366" ht="15.75" customHeight="1" s="77"/>
    <row r="367" ht="15.75" customHeight="1" s="77"/>
    <row r="368" ht="15.75" customHeight="1" s="77"/>
    <row r="369" ht="15.75" customHeight="1" s="77"/>
    <row r="370" ht="15.75" customHeight="1" s="77"/>
    <row r="371" ht="15.75" customHeight="1" s="77"/>
    <row r="372" ht="15.75" customHeight="1" s="77"/>
    <row r="373" ht="15.75" customHeight="1" s="77"/>
    <row r="374" ht="15.75" customHeight="1" s="77"/>
    <row r="375" ht="15.75" customHeight="1" s="77"/>
    <row r="376" ht="15.75" customHeight="1" s="77"/>
    <row r="377" ht="15.75" customHeight="1" s="77"/>
    <row r="378" ht="15.75" customHeight="1" s="77"/>
    <row r="379" ht="15.75" customHeight="1" s="77"/>
    <row r="380" ht="15.75" customHeight="1" s="77"/>
    <row r="381" ht="15.75" customHeight="1" s="77"/>
    <row r="382" ht="15.75" customHeight="1" s="77"/>
    <row r="383" ht="15.75" customHeight="1" s="77"/>
    <row r="384" ht="15.75" customHeight="1" s="77"/>
    <row r="385" ht="15.75" customHeight="1" s="77"/>
    <row r="386" ht="15.75" customHeight="1" s="77"/>
    <row r="387" ht="15.75" customHeight="1" s="77"/>
    <row r="388" ht="15.75" customHeight="1" s="77"/>
    <row r="389" ht="15.75" customHeight="1" s="77"/>
    <row r="390" ht="15.75" customHeight="1" s="77"/>
    <row r="391" ht="15.75" customHeight="1" s="77"/>
    <row r="392" ht="15.75" customHeight="1" s="77"/>
    <row r="393" ht="15.75" customHeight="1" s="77"/>
    <row r="394" ht="15.75" customHeight="1" s="77"/>
    <row r="395" ht="15.75" customHeight="1" s="77"/>
    <row r="396" ht="15.75" customHeight="1" s="77"/>
    <row r="397" ht="15.75" customHeight="1" s="77"/>
    <row r="398" ht="15.75" customHeight="1" s="77"/>
    <row r="399" ht="15.75" customHeight="1" s="77"/>
    <row r="400" ht="15.75" customHeight="1" s="77"/>
    <row r="401" ht="15.75" customHeight="1" s="77"/>
    <row r="402" ht="15.75" customHeight="1" s="77"/>
    <row r="403" ht="15.75" customHeight="1" s="77"/>
    <row r="404" ht="15.75" customHeight="1" s="77"/>
    <row r="405" ht="15.75" customHeight="1" s="77"/>
    <row r="406" ht="15.75" customHeight="1" s="77"/>
    <row r="407" ht="15.75" customHeight="1" s="77"/>
    <row r="408" ht="15.75" customHeight="1" s="77"/>
    <row r="409" ht="15.75" customHeight="1" s="77"/>
    <row r="410" ht="15.75" customHeight="1" s="77"/>
    <row r="411" ht="15.75" customHeight="1" s="77"/>
    <row r="412" ht="15.75" customHeight="1" s="77"/>
    <row r="413" ht="15.75" customHeight="1" s="77"/>
    <row r="414" ht="15.75" customHeight="1" s="77"/>
    <row r="415" ht="15.75" customHeight="1" s="77"/>
    <row r="416" ht="15.75" customHeight="1" s="77"/>
    <row r="417" ht="15.75" customHeight="1" s="77"/>
    <row r="418" ht="15.75" customHeight="1" s="77"/>
    <row r="419" ht="15.75" customHeight="1" s="77"/>
    <row r="420" ht="15.75" customHeight="1" s="77"/>
    <row r="421" ht="15.75" customHeight="1" s="77"/>
    <row r="422" ht="15.75" customHeight="1" s="77"/>
    <row r="423" ht="15.75" customHeight="1" s="77"/>
    <row r="424" ht="15.75" customHeight="1" s="77"/>
    <row r="425" ht="15.75" customHeight="1" s="77"/>
    <row r="426" ht="15.75" customHeight="1" s="77"/>
    <row r="427" ht="15.75" customHeight="1" s="77"/>
    <row r="428" ht="15.75" customHeight="1" s="77"/>
    <row r="429" ht="15.75" customHeight="1" s="77"/>
    <row r="430" ht="15.75" customHeight="1" s="77"/>
    <row r="431" ht="15.75" customHeight="1" s="77"/>
    <row r="432" ht="15.75" customHeight="1" s="77"/>
    <row r="433" ht="15.75" customHeight="1" s="77"/>
    <row r="434" ht="15.75" customHeight="1" s="77"/>
    <row r="435" ht="15.75" customHeight="1" s="77"/>
    <row r="436" ht="15.75" customHeight="1" s="77"/>
    <row r="437" ht="15.75" customHeight="1" s="77"/>
    <row r="438" ht="15.75" customHeight="1" s="77"/>
    <row r="439" ht="15.75" customHeight="1" s="77"/>
    <row r="440" ht="15.75" customHeight="1" s="77"/>
    <row r="441" ht="15.75" customHeight="1" s="77"/>
    <row r="442" ht="15.75" customHeight="1" s="77"/>
    <row r="443" ht="15.75" customHeight="1" s="77"/>
    <row r="444" ht="15.75" customHeight="1" s="77"/>
    <row r="445" ht="15.75" customHeight="1" s="77"/>
    <row r="446" ht="15.75" customHeight="1" s="77"/>
    <row r="447" ht="15.75" customHeight="1" s="77"/>
    <row r="448" ht="15.75" customHeight="1" s="77"/>
    <row r="449" ht="15.75" customHeight="1" s="77"/>
    <row r="450" ht="15.75" customHeight="1" s="77"/>
    <row r="451" ht="15.75" customHeight="1" s="77"/>
    <row r="452" ht="15.75" customHeight="1" s="77"/>
    <row r="453" ht="15.75" customHeight="1" s="77"/>
    <row r="454" ht="15.75" customHeight="1" s="77"/>
    <row r="455" ht="15.75" customHeight="1" s="77"/>
    <row r="456" ht="15.75" customHeight="1" s="77"/>
    <row r="457" ht="15.75" customHeight="1" s="77"/>
    <row r="458" ht="15.75" customHeight="1" s="77"/>
    <row r="459" ht="15.75" customHeight="1" s="77"/>
    <row r="460" ht="15.75" customHeight="1" s="77"/>
    <row r="461" ht="15.75" customHeight="1" s="77"/>
    <row r="462" ht="15.75" customHeight="1" s="77"/>
    <row r="463" ht="15.75" customHeight="1" s="77"/>
    <row r="464" ht="15.75" customHeight="1" s="77"/>
    <row r="465" ht="15.75" customHeight="1" s="77"/>
    <row r="466" ht="15.75" customHeight="1" s="77"/>
    <row r="467" ht="15.75" customHeight="1" s="77"/>
    <row r="468" ht="15.75" customHeight="1" s="77"/>
    <row r="469" ht="15.75" customHeight="1" s="77"/>
    <row r="470" ht="15.75" customHeight="1" s="77"/>
    <row r="471" ht="15.75" customHeight="1" s="77"/>
    <row r="472" ht="15.75" customHeight="1" s="77"/>
    <row r="473" ht="15.75" customHeight="1" s="77"/>
    <row r="474" ht="15.75" customHeight="1" s="77"/>
    <row r="475" ht="15.75" customHeight="1" s="77"/>
    <row r="476" ht="15.75" customHeight="1" s="77"/>
    <row r="477" ht="15.75" customHeight="1" s="77"/>
    <row r="478" ht="15.75" customHeight="1" s="77"/>
    <row r="479" ht="15.75" customHeight="1" s="77"/>
    <row r="480" ht="15.75" customHeight="1" s="77"/>
    <row r="481" ht="15.75" customHeight="1" s="77"/>
    <row r="482" ht="15.75" customHeight="1" s="77"/>
    <row r="483" ht="15.75" customHeight="1" s="77"/>
    <row r="484" ht="15.75" customHeight="1" s="77"/>
    <row r="485" ht="15.75" customHeight="1" s="77"/>
    <row r="486" ht="15.75" customHeight="1" s="77"/>
    <row r="487" ht="15.75" customHeight="1" s="77"/>
    <row r="488" ht="15.75" customHeight="1" s="77"/>
    <row r="489" ht="15.75" customHeight="1" s="77"/>
    <row r="490" ht="15.75" customHeight="1" s="77"/>
    <row r="491" ht="15.75" customHeight="1" s="77"/>
    <row r="492" ht="15.75" customHeight="1" s="77"/>
    <row r="493" ht="15.75" customHeight="1" s="77"/>
    <row r="494" ht="15.75" customHeight="1" s="77"/>
    <row r="495" ht="15.75" customHeight="1" s="77"/>
    <row r="496" ht="15.75" customHeight="1" s="77"/>
    <row r="497" ht="15.75" customHeight="1" s="77"/>
    <row r="498" ht="15.75" customHeight="1" s="77"/>
    <row r="499" ht="15.75" customHeight="1" s="77"/>
    <row r="500" ht="15.75" customHeight="1" s="77"/>
    <row r="501" ht="15.75" customHeight="1" s="77"/>
    <row r="502" ht="15.75" customHeight="1" s="77"/>
    <row r="503" ht="15.75" customHeight="1" s="77"/>
    <row r="504" ht="15.75" customHeight="1" s="77"/>
    <row r="505" ht="15.75" customHeight="1" s="77"/>
    <row r="506" ht="15.75" customHeight="1" s="77"/>
    <row r="507" ht="15.75" customHeight="1" s="77"/>
    <row r="508" ht="15.75" customHeight="1" s="77"/>
    <row r="509" ht="15.75" customHeight="1" s="77"/>
    <row r="510" ht="15.75" customHeight="1" s="77"/>
    <row r="511" ht="15.75" customHeight="1" s="77"/>
    <row r="512" ht="15.75" customHeight="1" s="77"/>
    <row r="513" ht="15.75" customHeight="1" s="77"/>
    <row r="514" ht="15.75" customHeight="1" s="77"/>
    <row r="515" ht="15.75" customHeight="1" s="77"/>
    <row r="516" ht="15.75" customHeight="1" s="77"/>
    <row r="517" ht="15.75" customHeight="1" s="77"/>
    <row r="518" ht="15.75" customHeight="1" s="77"/>
    <row r="519" ht="15.75" customHeight="1" s="77"/>
    <row r="520" ht="15.75" customHeight="1" s="77"/>
    <row r="521" ht="15.75" customHeight="1" s="77"/>
    <row r="522" ht="15.75" customHeight="1" s="77"/>
    <row r="523" ht="15.75" customHeight="1" s="77"/>
    <row r="524" ht="15.75" customHeight="1" s="77"/>
    <row r="525" ht="15.75" customHeight="1" s="77"/>
    <row r="526" ht="15.75" customHeight="1" s="77"/>
    <row r="527" ht="15.75" customHeight="1" s="77"/>
    <row r="528" ht="15.75" customHeight="1" s="77"/>
    <row r="529" ht="15.75" customHeight="1" s="77"/>
    <row r="530" ht="15.75" customHeight="1" s="77"/>
    <row r="531" ht="15.75" customHeight="1" s="77"/>
    <row r="532" ht="15.75" customHeight="1" s="77"/>
    <row r="533" ht="15.75" customHeight="1" s="77"/>
    <row r="534" ht="15.75" customHeight="1" s="77"/>
    <row r="535" ht="15.75" customHeight="1" s="77"/>
    <row r="536" ht="15.75" customHeight="1" s="77"/>
    <row r="537" ht="15.75" customHeight="1" s="77"/>
    <row r="538" ht="15.75" customHeight="1" s="77"/>
    <row r="539" ht="15.75" customHeight="1" s="77"/>
    <row r="540" ht="15.75" customHeight="1" s="77"/>
    <row r="541" ht="15.75" customHeight="1" s="77"/>
    <row r="542" ht="15.75" customHeight="1" s="77"/>
    <row r="543" ht="15.75" customHeight="1" s="77"/>
    <row r="544" ht="15.75" customHeight="1" s="77"/>
    <row r="545" ht="15.75" customHeight="1" s="77"/>
    <row r="546" ht="15.75" customHeight="1" s="77"/>
    <row r="547" ht="15.75" customHeight="1" s="77"/>
    <row r="548" ht="15.75" customHeight="1" s="77"/>
    <row r="549" ht="15.75" customHeight="1" s="77"/>
    <row r="550" ht="15.75" customHeight="1" s="77"/>
    <row r="551" ht="15.75" customHeight="1" s="77"/>
    <row r="552" ht="15.75" customHeight="1" s="77"/>
    <row r="553" ht="15.75" customHeight="1" s="77"/>
    <row r="554" ht="15.75" customHeight="1" s="77"/>
    <row r="555" ht="15.75" customHeight="1" s="77"/>
    <row r="556" ht="15.75" customHeight="1" s="77"/>
    <row r="557" ht="15.75" customHeight="1" s="77"/>
    <row r="558" ht="15.75" customHeight="1" s="77"/>
    <row r="559" ht="15.75" customHeight="1" s="77"/>
    <row r="560" ht="15.75" customHeight="1" s="77"/>
    <row r="561" ht="15.75" customHeight="1" s="77"/>
    <row r="562" ht="15.75" customHeight="1" s="77"/>
    <row r="563" ht="15.75" customHeight="1" s="77"/>
    <row r="564" ht="15.75" customHeight="1" s="77"/>
    <row r="565" ht="15.75" customHeight="1" s="77"/>
    <row r="566" ht="15.75" customHeight="1" s="77"/>
    <row r="567" ht="15.75" customHeight="1" s="77"/>
    <row r="568" ht="15.75" customHeight="1" s="77"/>
    <row r="569" ht="15.75" customHeight="1" s="77"/>
    <row r="570" ht="15.75" customHeight="1" s="77"/>
    <row r="571" ht="15.75" customHeight="1" s="77"/>
    <row r="572" ht="15.75" customHeight="1" s="77"/>
    <row r="573" ht="15.75" customHeight="1" s="77"/>
    <row r="574" ht="15.75" customHeight="1" s="77"/>
    <row r="575" ht="15.75" customHeight="1" s="77"/>
    <row r="576" ht="15.75" customHeight="1" s="77"/>
    <row r="577" ht="15.75" customHeight="1" s="77"/>
    <row r="578" ht="15.75" customHeight="1" s="77"/>
    <row r="579" ht="15.75" customHeight="1" s="77"/>
    <row r="580" ht="15.75" customHeight="1" s="77"/>
    <row r="581" ht="15.75" customHeight="1" s="77"/>
    <row r="582" ht="15.75" customHeight="1" s="77"/>
    <row r="583" ht="15.75" customHeight="1" s="77"/>
    <row r="584" ht="15.75" customHeight="1" s="77"/>
    <row r="585" ht="15.75" customHeight="1" s="77"/>
    <row r="586" ht="15.75" customHeight="1" s="77"/>
    <row r="587" ht="15.75" customHeight="1" s="77"/>
    <row r="588" ht="15.75" customHeight="1" s="77"/>
    <row r="589" ht="15.75" customHeight="1" s="77"/>
    <row r="590" ht="15.75" customHeight="1" s="77"/>
    <row r="591" ht="15.75" customHeight="1" s="77"/>
    <row r="592" ht="15.75" customHeight="1" s="77"/>
    <row r="593" ht="15.75" customHeight="1" s="77"/>
    <row r="594" ht="15.75" customHeight="1" s="77"/>
    <row r="595" ht="15.75" customHeight="1" s="77"/>
    <row r="596" ht="15.75" customHeight="1" s="77"/>
    <row r="597" ht="15.75" customHeight="1" s="77"/>
    <row r="598" ht="15.75" customHeight="1" s="77"/>
    <row r="599" ht="15.75" customHeight="1" s="77"/>
    <row r="600" ht="15.75" customHeight="1" s="77"/>
    <row r="601" ht="15.75" customHeight="1" s="77"/>
    <row r="602" ht="15.75" customHeight="1" s="77"/>
    <row r="603" ht="15.75" customHeight="1" s="77"/>
    <row r="604" ht="15.75" customHeight="1" s="77"/>
    <row r="605" ht="15.75" customHeight="1" s="77"/>
    <row r="606" ht="15.75" customHeight="1" s="77"/>
    <row r="607" ht="15.75" customHeight="1" s="77"/>
    <row r="608" ht="15.75" customHeight="1" s="77"/>
    <row r="609" ht="15.75" customHeight="1" s="77"/>
    <row r="610" ht="15.75" customHeight="1" s="77"/>
    <row r="611" ht="15.75" customHeight="1" s="77"/>
    <row r="612" ht="15.75" customHeight="1" s="77"/>
    <row r="613" ht="15.75" customHeight="1" s="77"/>
    <row r="614" ht="15.75" customHeight="1" s="77"/>
    <row r="615" ht="15.75" customHeight="1" s="77"/>
    <row r="616" ht="15.75" customHeight="1" s="77"/>
    <row r="617" ht="15.75" customHeight="1" s="77"/>
    <row r="618" ht="15.75" customHeight="1" s="77"/>
    <row r="619" ht="15.75" customHeight="1" s="77"/>
    <row r="620" ht="15.75" customHeight="1" s="77"/>
    <row r="621" ht="15.75" customHeight="1" s="77"/>
    <row r="622" ht="15.75" customHeight="1" s="77"/>
    <row r="623" ht="15.75" customHeight="1" s="77"/>
    <row r="624" ht="15.75" customHeight="1" s="77"/>
    <row r="625" ht="15.75" customHeight="1" s="77"/>
    <row r="626" ht="15.75" customHeight="1" s="77"/>
    <row r="627" ht="15.75" customHeight="1" s="77"/>
    <row r="628" ht="15.75" customHeight="1" s="77"/>
    <row r="629" ht="15.75" customHeight="1" s="77"/>
    <row r="630" ht="15.75" customHeight="1" s="77"/>
    <row r="631" ht="15.75" customHeight="1" s="77"/>
    <row r="632" ht="15.75" customHeight="1" s="77"/>
    <row r="633" ht="15.75" customHeight="1" s="77"/>
    <row r="634" ht="15.75" customHeight="1" s="77"/>
    <row r="635" ht="15.75" customHeight="1" s="77"/>
    <row r="636" ht="15.75" customHeight="1" s="77"/>
    <row r="637" ht="15.75" customHeight="1" s="77"/>
    <row r="638" ht="15.75" customHeight="1" s="77"/>
    <row r="639" ht="15.75" customHeight="1" s="77"/>
    <row r="640" ht="15.75" customHeight="1" s="77"/>
    <row r="641" ht="15.75" customHeight="1" s="77"/>
    <row r="642" ht="15.75" customHeight="1" s="77"/>
    <row r="643" ht="15.75" customHeight="1" s="77"/>
    <row r="644" ht="15.75" customHeight="1" s="77"/>
    <row r="645" ht="15.75" customHeight="1" s="77"/>
    <row r="646" ht="15.75" customHeight="1" s="77"/>
    <row r="647" ht="15.75" customHeight="1" s="77"/>
    <row r="648" ht="15.75" customHeight="1" s="77"/>
    <row r="649" ht="15.75" customHeight="1" s="77"/>
    <row r="650" ht="15.75" customHeight="1" s="77"/>
    <row r="651" ht="15.75" customHeight="1" s="77"/>
    <row r="652" ht="15.75" customHeight="1" s="77"/>
    <row r="653" ht="15.75" customHeight="1" s="77"/>
    <row r="654" ht="15.75" customHeight="1" s="77"/>
    <row r="655" ht="15.75" customHeight="1" s="77"/>
    <row r="656" ht="15.75" customHeight="1" s="77"/>
    <row r="657" ht="15.75" customHeight="1" s="77"/>
    <row r="658" ht="15.75" customHeight="1" s="77"/>
    <row r="659" ht="15.75" customHeight="1" s="77"/>
    <row r="660" ht="15.75" customHeight="1" s="77"/>
    <row r="661" ht="15.75" customHeight="1" s="77"/>
    <row r="662" ht="15.75" customHeight="1" s="77"/>
    <row r="663" ht="15.75" customHeight="1" s="77"/>
    <row r="664" ht="15.75" customHeight="1" s="77"/>
    <row r="665" ht="15.75" customHeight="1" s="77"/>
    <row r="666" ht="15.75" customHeight="1" s="77"/>
    <row r="667" ht="15.75" customHeight="1" s="77"/>
    <row r="668" ht="15.75" customHeight="1" s="77"/>
    <row r="669" ht="15.75" customHeight="1" s="77"/>
    <row r="670" ht="15.75" customHeight="1" s="77"/>
    <row r="671" ht="15.75" customHeight="1" s="77"/>
    <row r="672" ht="15.75" customHeight="1" s="77"/>
    <row r="673" ht="15.75" customHeight="1" s="77"/>
    <row r="674" ht="15.75" customHeight="1" s="77"/>
    <row r="675" ht="15.75" customHeight="1" s="77"/>
    <row r="676" ht="15.75" customHeight="1" s="77"/>
    <row r="677" ht="15.75" customHeight="1" s="77"/>
    <row r="678" ht="15.75" customHeight="1" s="77"/>
    <row r="679" ht="15.75" customHeight="1" s="77"/>
    <row r="680" ht="15.75" customHeight="1" s="77"/>
    <row r="681" ht="15.75" customHeight="1" s="77"/>
    <row r="682" ht="15.75" customHeight="1" s="77"/>
    <row r="683" ht="15.75" customHeight="1" s="77"/>
    <row r="684" ht="15.75" customHeight="1" s="77"/>
    <row r="685" ht="15.75" customHeight="1" s="77"/>
    <row r="686" ht="15.75" customHeight="1" s="77"/>
    <row r="687" ht="15.75" customHeight="1" s="77"/>
    <row r="688" ht="15.75" customHeight="1" s="77"/>
    <row r="689" ht="15.75" customHeight="1" s="77"/>
    <row r="690" ht="15.75" customHeight="1" s="77"/>
    <row r="691" ht="15.75" customHeight="1" s="77"/>
    <row r="692" ht="15.75" customHeight="1" s="77"/>
    <row r="693" ht="15.75" customHeight="1" s="77"/>
    <row r="694" ht="15.75" customHeight="1" s="77"/>
    <row r="695" ht="15.75" customHeight="1" s="77"/>
    <row r="696" ht="15.75" customHeight="1" s="77"/>
    <row r="697" ht="15.75" customHeight="1" s="77"/>
    <row r="698" ht="15.75" customHeight="1" s="77"/>
    <row r="699" ht="15.75" customHeight="1" s="77"/>
    <row r="700" ht="15.75" customHeight="1" s="77"/>
    <row r="701" ht="15.75" customHeight="1" s="77"/>
    <row r="702" ht="15.75" customHeight="1" s="77"/>
    <row r="703" ht="15.75" customHeight="1" s="77"/>
    <row r="704" ht="15.75" customHeight="1" s="77"/>
    <row r="705" ht="15.75" customHeight="1" s="77"/>
    <row r="706" ht="15.75" customHeight="1" s="77"/>
    <row r="707" ht="15.75" customHeight="1" s="77"/>
    <row r="708" ht="15.75" customHeight="1" s="77"/>
    <row r="709" ht="15.75" customHeight="1" s="77"/>
    <row r="710" ht="15.75" customHeight="1" s="77"/>
    <row r="711" ht="15.75" customHeight="1" s="77"/>
    <row r="712" ht="15.75" customHeight="1" s="77"/>
    <row r="713" ht="15.75" customHeight="1" s="77"/>
    <row r="714" ht="15.75" customHeight="1" s="77"/>
    <row r="715" ht="15.75" customHeight="1" s="77"/>
    <row r="716" ht="15.75" customHeight="1" s="77"/>
    <row r="717" ht="15.75" customHeight="1" s="77"/>
    <row r="718" ht="15.75" customHeight="1" s="77"/>
    <row r="719" ht="15.75" customHeight="1" s="77"/>
    <row r="720" ht="15.75" customHeight="1" s="77"/>
    <row r="721" ht="15.75" customHeight="1" s="77"/>
    <row r="722" ht="15.75" customHeight="1" s="77"/>
    <row r="723" ht="15.75" customHeight="1" s="77"/>
    <row r="724" ht="15.75" customHeight="1" s="77"/>
    <row r="725" ht="15.75" customHeight="1" s="77"/>
    <row r="726" ht="15.75" customHeight="1" s="77"/>
    <row r="727" ht="15.75" customHeight="1" s="77"/>
    <row r="728" ht="15.75" customHeight="1" s="77"/>
    <row r="729" ht="15.75" customHeight="1" s="77"/>
    <row r="730" ht="15.75" customHeight="1" s="77"/>
    <row r="731" ht="15.75" customHeight="1" s="77"/>
    <row r="732" ht="15.75" customHeight="1" s="77"/>
    <row r="733" ht="15.75" customHeight="1" s="77"/>
    <row r="734" ht="15.75" customHeight="1" s="77"/>
    <row r="735" ht="15.75" customHeight="1" s="77"/>
    <row r="736" ht="15.75" customHeight="1" s="77"/>
    <row r="737" ht="15.75" customHeight="1" s="77"/>
    <row r="738" ht="15.75" customHeight="1" s="77"/>
    <row r="739" ht="15.75" customHeight="1" s="77"/>
    <row r="740" ht="15.75" customHeight="1" s="77"/>
    <row r="741" ht="15.75" customHeight="1" s="77"/>
    <row r="742" ht="15.75" customHeight="1" s="77"/>
    <row r="743" ht="15.75" customHeight="1" s="77"/>
    <row r="744" ht="15.75" customHeight="1" s="77"/>
    <row r="745" ht="15.75" customHeight="1" s="77"/>
    <row r="746" ht="15.75" customHeight="1" s="77"/>
    <row r="747" ht="15.75" customHeight="1" s="77"/>
    <row r="748" ht="15.75" customHeight="1" s="77"/>
    <row r="749" ht="15.75" customHeight="1" s="77"/>
    <row r="750" ht="15.75" customHeight="1" s="77"/>
    <row r="751" ht="15.75" customHeight="1" s="77"/>
    <row r="752" ht="15.75" customHeight="1" s="77"/>
    <row r="753" ht="15.75" customHeight="1" s="77"/>
    <row r="754" ht="15.75" customHeight="1" s="77"/>
    <row r="755" ht="15.75" customHeight="1" s="77"/>
    <row r="756" ht="15.75" customHeight="1" s="77"/>
    <row r="757" ht="15.75" customHeight="1" s="77"/>
    <row r="758" ht="15.75" customHeight="1" s="77"/>
    <row r="759" ht="15.75" customHeight="1" s="77"/>
    <row r="760" ht="15.75" customHeight="1" s="77"/>
    <row r="761" ht="15.75" customHeight="1" s="77"/>
    <row r="762" ht="15.75" customHeight="1" s="77"/>
    <row r="763" ht="15.75" customHeight="1" s="77"/>
    <row r="764" ht="15.75" customHeight="1" s="77"/>
    <row r="765" ht="15.75" customHeight="1" s="77"/>
    <row r="766" ht="15.75" customHeight="1" s="77"/>
    <row r="767" ht="15.75" customHeight="1" s="77"/>
    <row r="768" ht="15.75" customHeight="1" s="77"/>
    <row r="769" ht="15.75" customHeight="1" s="77"/>
    <row r="770" ht="15.75" customHeight="1" s="77"/>
    <row r="771" ht="15.75" customHeight="1" s="77"/>
    <row r="772" ht="15.75" customHeight="1" s="77"/>
    <row r="773" ht="15.75" customHeight="1" s="77"/>
    <row r="774" ht="15.75" customHeight="1" s="77"/>
    <row r="775" ht="15.75" customHeight="1" s="77"/>
    <row r="776" ht="15.75" customHeight="1" s="77"/>
    <row r="777" ht="15.75" customHeight="1" s="77"/>
    <row r="778" ht="15.75" customHeight="1" s="77"/>
    <row r="779" ht="15.75" customHeight="1" s="77"/>
    <row r="780" ht="15.75" customHeight="1" s="77"/>
    <row r="781" ht="15.75" customHeight="1" s="77"/>
    <row r="782" ht="15.75" customHeight="1" s="77"/>
    <row r="783" ht="15.75" customHeight="1" s="77"/>
    <row r="784" ht="15.75" customHeight="1" s="77"/>
    <row r="785" ht="15.75" customHeight="1" s="77"/>
    <row r="786" ht="15.75" customHeight="1" s="77"/>
    <row r="787" ht="15.75" customHeight="1" s="77"/>
    <row r="788" ht="15.75" customHeight="1" s="77"/>
    <row r="789" ht="15.75" customHeight="1" s="77"/>
    <row r="790" ht="15.75" customHeight="1" s="77"/>
    <row r="791" ht="15.75" customHeight="1" s="77"/>
    <row r="792" ht="15.75" customHeight="1" s="77"/>
    <row r="793" ht="15.75" customHeight="1" s="77"/>
    <row r="794" ht="15.75" customHeight="1" s="77"/>
    <row r="795" ht="15.75" customHeight="1" s="77"/>
    <row r="796" ht="15.75" customHeight="1" s="77"/>
    <row r="797" ht="15.75" customHeight="1" s="77"/>
    <row r="798" ht="15.75" customHeight="1" s="77"/>
    <row r="799" ht="15.75" customHeight="1" s="77"/>
    <row r="800" ht="15.75" customHeight="1" s="77"/>
    <row r="801" ht="15.75" customHeight="1" s="77"/>
    <row r="802" ht="15.75" customHeight="1" s="77"/>
    <row r="803" ht="15.75" customHeight="1" s="77"/>
    <row r="804" ht="15.75" customHeight="1" s="77"/>
    <row r="805" ht="15.75" customHeight="1" s="77"/>
    <row r="806" ht="15.75" customHeight="1" s="77"/>
    <row r="807" ht="15.75" customHeight="1" s="77"/>
    <row r="808" ht="15.75" customHeight="1" s="77"/>
    <row r="809" ht="15.75" customHeight="1" s="77"/>
    <row r="810" ht="15.75" customHeight="1" s="77"/>
    <row r="811" ht="15.75" customHeight="1" s="77"/>
    <row r="812" ht="15.75" customHeight="1" s="77"/>
    <row r="813" ht="15.75" customHeight="1" s="77"/>
    <row r="814" ht="15.75" customHeight="1" s="77"/>
    <row r="815" ht="15.75" customHeight="1" s="77"/>
    <row r="816" ht="15.75" customHeight="1" s="77"/>
    <row r="817" ht="15.75" customHeight="1" s="77"/>
    <row r="818" ht="15.75" customHeight="1" s="77"/>
    <row r="819" ht="15.75" customHeight="1" s="77"/>
    <row r="820" ht="15.75" customHeight="1" s="77"/>
    <row r="821" ht="15.75" customHeight="1" s="77"/>
    <row r="822" ht="15.75" customHeight="1" s="77"/>
    <row r="823" ht="15.75" customHeight="1" s="77"/>
    <row r="824" ht="15.75" customHeight="1" s="77"/>
    <row r="825" ht="15.75" customHeight="1" s="77"/>
    <row r="826" ht="15.75" customHeight="1" s="77"/>
    <row r="827" ht="15.75" customHeight="1" s="77"/>
    <row r="828" ht="15.75" customHeight="1" s="77"/>
    <row r="829" ht="15.75" customHeight="1" s="77"/>
    <row r="830" ht="15.75" customHeight="1" s="77"/>
    <row r="831" ht="15.75" customHeight="1" s="77"/>
    <row r="832" ht="15.75" customHeight="1" s="77"/>
    <row r="833" ht="15.75" customHeight="1" s="77"/>
    <row r="834" ht="15.75" customHeight="1" s="77"/>
    <row r="835" ht="15.75" customHeight="1" s="77"/>
    <row r="836" ht="15.75" customHeight="1" s="77"/>
    <row r="837" ht="15.75" customHeight="1" s="77"/>
    <row r="838" ht="15.75" customHeight="1" s="77"/>
    <row r="839" ht="15.75" customHeight="1" s="77"/>
    <row r="840" ht="15.75" customHeight="1" s="77"/>
    <row r="841" ht="15.75" customHeight="1" s="77"/>
    <row r="842" ht="15.75" customHeight="1" s="77"/>
    <row r="843" ht="15.75" customHeight="1" s="77"/>
    <row r="844" ht="15.75" customHeight="1" s="77"/>
    <row r="845" ht="15.75" customHeight="1" s="77"/>
    <row r="846" ht="15.75" customHeight="1" s="77"/>
    <row r="847" ht="15.75" customHeight="1" s="77"/>
    <row r="848" ht="15.75" customHeight="1" s="77"/>
    <row r="849" ht="15.75" customHeight="1" s="77"/>
    <row r="850" ht="15.75" customHeight="1" s="77"/>
    <row r="851" ht="15.75" customHeight="1" s="77"/>
    <row r="852" ht="15.75" customHeight="1" s="77"/>
    <row r="853" ht="15.75" customHeight="1" s="77"/>
    <row r="854" ht="15.75" customHeight="1" s="77"/>
    <row r="855" ht="15.75" customHeight="1" s="77"/>
    <row r="856" ht="15.75" customHeight="1" s="77"/>
    <row r="857" ht="15.75" customHeight="1" s="77"/>
    <row r="858" ht="15.75" customHeight="1" s="77"/>
    <row r="859" ht="15.75" customHeight="1" s="77"/>
    <row r="860" ht="15.75" customHeight="1" s="77"/>
    <row r="861" ht="15.75" customHeight="1" s="77"/>
    <row r="862" ht="15.75" customHeight="1" s="77"/>
    <row r="863" ht="15.75" customHeight="1" s="77"/>
    <row r="864" ht="15.75" customHeight="1" s="77"/>
    <row r="865" ht="15.75" customHeight="1" s="77"/>
    <row r="866" ht="15.75" customHeight="1" s="77"/>
    <row r="867" ht="15.75" customHeight="1" s="77"/>
    <row r="868" ht="15.75" customHeight="1" s="77"/>
    <row r="869" ht="15.75" customHeight="1" s="77"/>
    <row r="870" ht="15.75" customHeight="1" s="77"/>
    <row r="871" ht="15.75" customHeight="1" s="77"/>
    <row r="872" ht="15.75" customHeight="1" s="77"/>
    <row r="873" ht="15.75" customHeight="1" s="77"/>
    <row r="874" ht="15.75" customHeight="1" s="77"/>
    <row r="875" ht="15.75" customHeight="1" s="77"/>
    <row r="876" ht="15.75" customHeight="1" s="77"/>
    <row r="877" ht="15.75" customHeight="1" s="77"/>
    <row r="878" ht="15.75" customHeight="1" s="77"/>
    <row r="879" ht="15.75" customHeight="1" s="77"/>
    <row r="880" ht="15.75" customHeight="1" s="77"/>
    <row r="881" ht="15.75" customHeight="1" s="77"/>
    <row r="882" ht="15.75" customHeight="1" s="77"/>
    <row r="883" ht="15.75" customHeight="1" s="77"/>
    <row r="884" ht="15.75" customHeight="1" s="77"/>
    <row r="885" ht="15.75" customHeight="1" s="77"/>
    <row r="886" ht="15.75" customHeight="1" s="77"/>
    <row r="887" ht="15.75" customHeight="1" s="77"/>
    <row r="888" ht="15.75" customHeight="1" s="77"/>
    <row r="889" ht="15.75" customHeight="1" s="77"/>
    <row r="890" ht="15.75" customHeight="1" s="77"/>
    <row r="891" ht="15.75" customHeight="1" s="77"/>
    <row r="892" ht="15.75" customHeight="1" s="77"/>
    <row r="893" ht="15.75" customHeight="1" s="77"/>
    <row r="894" ht="15.75" customHeight="1" s="77"/>
    <row r="895" ht="15.75" customHeight="1" s="77"/>
    <row r="896" ht="15.75" customHeight="1" s="77"/>
    <row r="897" ht="15.75" customHeight="1" s="77"/>
    <row r="898" ht="15.75" customHeight="1" s="77"/>
    <row r="899" ht="15.75" customHeight="1" s="77"/>
    <row r="900" ht="15.75" customHeight="1" s="77"/>
    <row r="901" ht="15.75" customHeight="1" s="77"/>
    <row r="902" ht="15.75" customHeight="1" s="77"/>
    <row r="903" ht="15.75" customHeight="1" s="77"/>
    <row r="904" ht="15.75" customHeight="1" s="77"/>
    <row r="905" ht="15.75" customHeight="1" s="77"/>
    <row r="906" ht="15.75" customHeight="1" s="77"/>
    <row r="907" ht="15.75" customHeight="1" s="77"/>
    <row r="908" ht="15.75" customHeight="1" s="77"/>
    <row r="909" ht="15.75" customHeight="1" s="77"/>
    <row r="910" ht="15.75" customHeight="1" s="77"/>
    <row r="911" ht="15.75" customHeight="1" s="77"/>
    <row r="912" ht="15.75" customHeight="1" s="77"/>
    <row r="913" ht="15.75" customHeight="1" s="77"/>
    <row r="914" ht="15.75" customHeight="1" s="77"/>
    <row r="915" ht="15.75" customHeight="1" s="77"/>
    <row r="916" ht="15.75" customHeight="1" s="77"/>
    <row r="917" ht="15.75" customHeight="1" s="77"/>
    <row r="918" ht="15.75" customHeight="1" s="77"/>
    <row r="919" ht="15.75" customHeight="1" s="77"/>
    <row r="920" ht="15.75" customHeight="1" s="77"/>
    <row r="921" ht="15.75" customHeight="1" s="77"/>
    <row r="922" ht="15.75" customHeight="1" s="77"/>
    <row r="923" ht="15.75" customHeight="1" s="77"/>
    <row r="924" ht="15.75" customHeight="1" s="77"/>
    <row r="925" ht="15.75" customHeight="1" s="77"/>
    <row r="926" ht="15.75" customHeight="1" s="77"/>
    <row r="927" ht="15.75" customHeight="1" s="77"/>
    <row r="928" ht="15.75" customHeight="1" s="77"/>
    <row r="929" ht="15.75" customHeight="1" s="77"/>
    <row r="930" ht="15.75" customHeight="1" s="77"/>
    <row r="931" ht="15.75" customHeight="1" s="77"/>
    <row r="932" ht="15.75" customHeight="1" s="77"/>
    <row r="933" ht="15.75" customHeight="1" s="77"/>
    <row r="934" ht="15.75" customHeight="1" s="77"/>
    <row r="935" ht="15.75" customHeight="1" s="77"/>
    <row r="936" ht="15.75" customHeight="1" s="77"/>
    <row r="937" ht="15.75" customHeight="1" s="77"/>
    <row r="938" ht="15.75" customHeight="1" s="77"/>
    <row r="939" ht="15.75" customHeight="1" s="77"/>
    <row r="940" ht="15.75" customHeight="1" s="77"/>
    <row r="941" ht="15.75" customHeight="1" s="77"/>
    <row r="942" ht="15.75" customHeight="1" s="77"/>
    <row r="943" ht="15.75" customHeight="1" s="77"/>
    <row r="944" ht="15.75" customHeight="1" s="77"/>
    <row r="945" ht="15.75" customHeight="1" s="77"/>
    <row r="946" ht="15.75" customHeight="1" s="77"/>
    <row r="947" ht="15.75" customHeight="1" s="77"/>
    <row r="948" ht="15.75" customHeight="1" s="77"/>
    <row r="949" ht="15.75" customHeight="1" s="77"/>
    <row r="950" ht="15.75" customHeight="1" s="77"/>
    <row r="951" ht="15.75" customHeight="1" s="77"/>
    <row r="952" ht="15.75" customHeight="1" s="77"/>
    <row r="953" ht="15.75" customHeight="1" s="77"/>
    <row r="954" ht="15.75" customHeight="1" s="77"/>
    <row r="955" ht="15.75" customHeight="1" s="77"/>
    <row r="956" ht="15.75" customHeight="1" s="77"/>
    <row r="957" ht="15.75" customHeight="1" s="77"/>
    <row r="958" ht="15.75" customHeight="1" s="77"/>
    <row r="959" ht="15.75" customHeight="1" s="77"/>
    <row r="960" ht="15.75" customHeight="1" s="77"/>
    <row r="961" ht="15.75" customHeight="1" s="77"/>
    <row r="962" ht="15.75" customHeight="1" s="77"/>
    <row r="963" ht="15.75" customHeight="1" s="77"/>
    <row r="964" ht="15.75" customHeight="1" s="77"/>
    <row r="965" ht="15.75" customHeight="1" s="77"/>
    <row r="966" ht="15.75" customHeight="1" s="77"/>
    <row r="967" ht="15.75" customHeight="1" s="77"/>
    <row r="968" ht="15.75" customHeight="1" s="77"/>
    <row r="969" ht="15.75" customHeight="1" s="77"/>
    <row r="970" ht="15.75" customHeight="1" s="77"/>
    <row r="971" ht="15.75" customHeight="1" s="77"/>
    <row r="972" ht="15.75" customHeight="1" s="77"/>
    <row r="973" ht="15.75" customHeight="1" s="77"/>
    <row r="974" ht="15.75" customHeight="1" s="77"/>
    <row r="975" ht="15.75" customHeight="1" s="77"/>
    <row r="976" ht="15.75" customHeight="1" s="77"/>
    <row r="977" ht="15.75" customHeight="1" s="77"/>
    <row r="978" ht="15.75" customHeight="1" s="77"/>
    <row r="979" ht="15.75" customHeight="1" s="77"/>
    <row r="980" ht="15.75" customHeight="1" s="77"/>
    <row r="981" ht="15.75" customHeight="1" s="77"/>
    <row r="982" ht="15.75" customHeight="1" s="77"/>
    <row r="983" ht="15.75" customHeight="1" s="77"/>
    <row r="984" ht="15.75" customHeight="1" s="77"/>
    <row r="985" ht="15.75" customHeight="1" s="77"/>
    <row r="986" ht="15.75" customHeight="1" s="77"/>
    <row r="987" ht="15.75" customHeight="1" s="77"/>
    <row r="988" ht="15.75" customHeight="1" s="77"/>
    <row r="989" ht="15.75" customHeight="1" s="77"/>
    <row r="990" ht="15.75" customHeight="1" s="77"/>
    <row r="991" ht="15.75" customHeight="1" s="77"/>
    <row r="992" ht="15.75" customHeight="1" s="77"/>
    <row r="993" ht="15.75" customHeight="1" s="77"/>
    <row r="994" ht="15.75" customHeight="1" s="77"/>
    <row r="995" ht="15.75" customHeight="1" s="77"/>
    <row r="996" ht="15.75" customHeight="1" s="77"/>
    <row r="997" ht="15.75" customHeight="1" s="77"/>
    <row r="998" ht="15.75" customHeight="1" s="77"/>
    <row r="999" ht="15.75" customHeight="1" s="77"/>
    <row r="1000" ht="15.75" customHeight="1" s="77"/>
  </sheetData>
  <mergeCells count="7">
    <mergeCell ref="A42:C42"/>
    <mergeCell ref="A41:C41"/>
    <mergeCell ref="A45:C45"/>
    <mergeCell ref="A10:C40"/>
    <mergeCell ref="A1:C1"/>
    <mergeCell ref="A2:C9"/>
    <mergeCell ref="A43:C4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C42"/>
  <sheetViews>
    <sheetView workbookViewId="0">
      <selection activeCell="A1" sqref="A1"/>
    </sheetView>
  </sheetViews>
  <sheetFormatPr baseColWidth="10" defaultColWidth="12.5703125" defaultRowHeight="15" customHeight="1"/>
  <cols>
    <col width="12.5703125" customWidth="1" style="77" min="1" max="1"/>
    <col width="34.28515625" customWidth="1" style="77" min="2" max="2"/>
    <col width="19.7109375" customWidth="1" style="77" min="3" max="3"/>
    <col width="12.5703125" customWidth="1" style="77" min="4" max="6"/>
  </cols>
  <sheetData>
    <row r="1" ht="15.75" customHeight="1" s="77">
      <c r="A1" s="4" t="inlineStr">
        <is>
          <t>Etapes</t>
        </is>
      </c>
      <c r="B1" s="4" t="inlineStr">
        <is>
          <t>Tâches</t>
        </is>
      </c>
      <c r="C1" s="4" t="inlineStr">
        <is>
          <t>Estimation en jours</t>
        </is>
      </c>
    </row>
    <row r="2" ht="15.75" customHeight="1" s="77">
      <c r="A2" s="28" t="inlineStr">
        <is>
          <t>Préparation</t>
        </is>
      </c>
      <c r="B2" s="9" t="inlineStr">
        <is>
          <t>Prise en main</t>
        </is>
      </c>
      <c r="C2" s="11" t="n">
        <v>2</v>
      </c>
    </row>
    <row r="3" ht="15.75" customHeight="1" s="77">
      <c r="A3" s="162" t="n"/>
      <c r="B3" s="9" t="inlineStr">
        <is>
          <t>Installation environnements</t>
        </is>
      </c>
      <c r="C3" s="11" t="n">
        <v>1</v>
      </c>
    </row>
    <row r="4" ht="15.75" customHeight="1" s="77">
      <c r="A4" s="162" t="n"/>
      <c r="B4" s="13" t="inlineStr">
        <is>
          <t>Analyse et conception</t>
        </is>
      </c>
      <c r="C4" s="14" t="n">
        <v>4</v>
      </c>
    </row>
    <row r="5" ht="15.75" customHeight="1" s="77">
      <c r="A5" s="162" t="n"/>
      <c r="B5" s="13" t="inlineStr">
        <is>
          <t>Maquette</t>
        </is>
      </c>
      <c r="C5" s="14" t="n">
        <v>5</v>
      </c>
    </row>
    <row r="6" ht="15.75" customHeight="1" s="77">
      <c r="A6" s="163" t="n"/>
      <c r="B6" s="19" t="inlineStr">
        <is>
          <t>Sous-total</t>
        </is>
      </c>
      <c r="C6" s="23">
        <f>SUM(C2:C5)</f>
        <v/>
      </c>
    </row>
    <row r="7" ht="15.75" customHeight="1" s="77">
      <c r="A7" s="28" t="inlineStr">
        <is>
          <t>Réalisation</t>
        </is>
      </c>
      <c r="B7" s="24" t="inlineStr">
        <is>
          <t>Gestion utilisateur</t>
        </is>
      </c>
      <c r="C7" s="13" t="n"/>
    </row>
    <row r="8" ht="15.75" customHeight="1" s="77">
      <c r="A8" s="162" t="n"/>
      <c r="B8" s="13" t="inlineStr">
        <is>
          <t>Connexion</t>
        </is>
      </c>
      <c r="C8" s="14" t="n">
        <v>2</v>
      </c>
    </row>
    <row r="9" ht="15.75" customHeight="1" s="77">
      <c r="A9" s="162" t="n"/>
      <c r="B9" s="13" t="inlineStr">
        <is>
          <t>Gestion rôles et permissions</t>
        </is>
      </c>
      <c r="C9" s="14" t="n">
        <v>3</v>
      </c>
    </row>
    <row r="10" ht="15.75" customHeight="1" s="77">
      <c r="A10" s="162" t="n"/>
      <c r="B10" s="24" t="inlineStr">
        <is>
          <t>Gestion personnel</t>
        </is>
      </c>
      <c r="C10" s="13" t="n"/>
    </row>
    <row r="11" ht="15.75" customHeight="1" s="77">
      <c r="A11" s="162" t="n"/>
      <c r="B11" s="9" t="inlineStr">
        <is>
          <t>CRUD contrat</t>
        </is>
      </c>
      <c r="C11" s="14" t="n">
        <v>1</v>
      </c>
    </row>
    <row r="12" ht="15.75" customHeight="1" s="77">
      <c r="A12" s="162" t="n"/>
      <c r="B12" s="13" t="inlineStr">
        <is>
          <t>CRUD direction</t>
        </is>
      </c>
      <c r="C12" s="14" t="n">
        <v>1</v>
      </c>
    </row>
    <row r="13" ht="15.75" customHeight="1" s="77">
      <c r="A13" s="162" t="n"/>
      <c r="B13" s="13" t="inlineStr">
        <is>
          <t>CRUD personnel</t>
        </is>
      </c>
      <c r="C13" s="14" t="n">
        <v>3</v>
      </c>
    </row>
    <row r="14" ht="15.75" customHeight="1" s="77">
      <c r="A14" s="162" t="n"/>
      <c r="B14" s="24" t="inlineStr">
        <is>
          <t>Gestion ressources</t>
        </is>
      </c>
      <c r="C14" s="13" t="n"/>
    </row>
    <row r="15" ht="15.75" customHeight="1" s="77">
      <c r="A15" s="162" t="n"/>
      <c r="B15" s="13" t="inlineStr">
        <is>
          <t>CRUD ressources</t>
        </is>
      </c>
      <c r="C15" s="14" t="n">
        <v>3</v>
      </c>
    </row>
    <row r="16" ht="15.75" customHeight="1" s="77">
      <c r="A16" s="162" t="n"/>
      <c r="B16" s="13" t="inlineStr">
        <is>
          <t>CRUD profil</t>
        </is>
      </c>
      <c r="C16" s="14" t="n">
        <v>2</v>
      </c>
    </row>
    <row r="17" ht="15.75" customHeight="1" s="77">
      <c r="A17" s="162" t="n"/>
      <c r="B17" s="24" t="inlineStr">
        <is>
          <t>Gestion habilitation</t>
        </is>
      </c>
      <c r="C17" s="13" t="n"/>
    </row>
    <row r="18" ht="15.75" customHeight="1" s="77">
      <c r="A18" s="162" t="n"/>
      <c r="B18" s="13" t="inlineStr">
        <is>
          <t>CRUD demande</t>
        </is>
      </c>
      <c r="C18" s="14" t="n">
        <v>2</v>
      </c>
    </row>
    <row r="19" ht="15.75" customHeight="1" s="77">
      <c r="A19" s="162" t="n"/>
      <c r="B19" s="13" t="inlineStr">
        <is>
          <t>Acceptation/refus et validation</t>
        </is>
      </c>
      <c r="C19" s="14" t="n">
        <v>1</v>
      </c>
    </row>
    <row r="20" ht="15.75" customHeight="1" s="77">
      <c r="A20" s="162" t="n"/>
      <c r="B20" s="13" t="inlineStr">
        <is>
          <t>CRUD habilitation</t>
        </is>
      </c>
      <c r="C20" s="14" t="n">
        <v>2</v>
      </c>
    </row>
    <row r="21" ht="15.75" customHeight="1" s="77">
      <c r="A21" s="162" t="n"/>
      <c r="B21" s="13" t="inlineStr">
        <is>
          <t>Historique demande</t>
        </is>
      </c>
      <c r="C21" s="14" t="n">
        <v>2</v>
      </c>
    </row>
    <row r="22" ht="15.75" customHeight="1" s="77">
      <c r="A22" s="162" t="n"/>
      <c r="B22" s="13" t="inlineStr">
        <is>
          <t>Historique habilitation</t>
        </is>
      </c>
      <c r="C22" s="14" t="n">
        <v>1</v>
      </c>
    </row>
    <row r="23" ht="15.75" customHeight="1" s="77">
      <c r="A23" s="162" t="n"/>
      <c r="B23" s="13" t="inlineStr">
        <is>
          <t>Export fiche habilitation</t>
        </is>
      </c>
      <c r="C23" s="14" t="n">
        <v>1</v>
      </c>
    </row>
    <row r="24" ht="15.75" customHeight="1" s="77">
      <c r="A24" s="162" t="n"/>
      <c r="B24" s="24" t="inlineStr">
        <is>
          <t>Suivi utilisateur</t>
        </is>
      </c>
      <c r="C24" s="13" t="n"/>
    </row>
    <row r="25" ht="15.75" customHeight="1" s="77">
      <c r="A25" s="162" t="n"/>
      <c r="B25" s="13" t="inlineStr">
        <is>
          <t>Historique d'activités</t>
        </is>
      </c>
      <c r="C25" s="14" t="n">
        <v>3</v>
      </c>
    </row>
    <row r="26" ht="15.75" customHeight="1" s="77">
      <c r="A26" s="162" t="n"/>
      <c r="B26" s="13" t="inlineStr">
        <is>
          <t>Recherche par période/action</t>
        </is>
      </c>
      <c r="C26" s="14" t="n">
        <v>2</v>
      </c>
    </row>
    <row r="27" ht="15.75" customHeight="1" s="77">
      <c r="A27" s="162" t="n"/>
      <c r="B27" s="24" t="inlineStr">
        <is>
          <t>Notification</t>
        </is>
      </c>
      <c r="C27" s="13" t="n"/>
    </row>
    <row r="28" ht="15.75" customHeight="1" s="77">
      <c r="A28" s="162" t="n"/>
      <c r="B28" s="13" t="inlineStr">
        <is>
          <t>Notification changement sur les habilitations</t>
        </is>
      </c>
      <c r="C28" s="14" t="n">
        <v>2</v>
      </c>
    </row>
    <row r="29" ht="15.75" customHeight="1" s="77">
      <c r="A29" s="162" t="n"/>
      <c r="B29" s="13" t="inlineStr">
        <is>
          <t>Paramétrages</t>
        </is>
      </c>
      <c r="C29" s="14" t="n">
        <v>3</v>
      </c>
    </row>
    <row r="30" ht="15.75" customHeight="1" s="77">
      <c r="A30" s="162" t="n"/>
      <c r="B30" s="24" t="inlineStr">
        <is>
          <t>Etat d'analyse et statistiques</t>
        </is>
      </c>
      <c r="C30" s="13" t="n"/>
    </row>
    <row r="31" ht="15.75" customHeight="1" s="77">
      <c r="A31" s="162" t="n"/>
      <c r="B31" s="13" t="inlineStr">
        <is>
          <t>Tableau de bord</t>
        </is>
      </c>
      <c r="C31" s="14" t="n">
        <v>3</v>
      </c>
    </row>
    <row r="32" ht="15.75" customHeight="1" s="77">
      <c r="A32" s="162" t="n"/>
      <c r="B32" s="13" t="inlineStr">
        <is>
          <t>Tri et filtre</t>
        </is>
      </c>
      <c r="C32" s="14" t="n">
        <v>2</v>
      </c>
    </row>
    <row r="33" ht="15.75" customHeight="1" s="77">
      <c r="A33" s="163" t="n"/>
      <c r="B33" s="19" t="inlineStr">
        <is>
          <t>Sous-total</t>
        </is>
      </c>
      <c r="C33" s="23">
        <f>SUM(C7:C32)</f>
        <v/>
      </c>
    </row>
    <row r="34" ht="15.75" customHeight="1" s="77">
      <c r="A34" s="28" t="inlineStr">
        <is>
          <t>Test</t>
        </is>
      </c>
      <c r="B34" s="13" t="inlineStr">
        <is>
          <t>Test et corrections</t>
        </is>
      </c>
      <c r="C34" s="23" t="n">
        <v>5</v>
      </c>
    </row>
    <row r="35" ht="15.75" customHeight="1" s="77">
      <c r="A35" s="28" t="inlineStr">
        <is>
          <t>Livraison</t>
        </is>
      </c>
      <c r="B35" s="13" t="inlineStr">
        <is>
          <t>Déploiement</t>
        </is>
      </c>
      <c r="C35" s="14" t="n">
        <v>3</v>
      </c>
    </row>
    <row r="36" ht="15.75" customHeight="1" s="77">
      <c r="A36" s="162" t="n"/>
      <c r="B36" s="13" t="inlineStr">
        <is>
          <t>Formation utilisateur</t>
        </is>
      </c>
      <c r="C36" s="14" t="n">
        <v>1</v>
      </c>
    </row>
    <row r="37" ht="15.75" customHeight="1" s="77">
      <c r="A37" s="163" t="n"/>
      <c r="B37" s="19" t="inlineStr">
        <is>
          <t>Sous-total</t>
        </is>
      </c>
      <c r="C37" s="23">
        <f>SUM(C35:C36)</f>
        <v/>
      </c>
    </row>
    <row r="38" ht="15.75" customHeight="1" s="77">
      <c r="A38" s="28" t="inlineStr">
        <is>
          <t>Autres projets</t>
        </is>
      </c>
      <c r="B38" s="13" t="inlineStr">
        <is>
          <t>Corrections bugs application Tiwi</t>
        </is>
      </c>
      <c r="C38" s="14" t="n">
        <v>3</v>
      </c>
    </row>
    <row r="39" ht="15.75" customHeight="1" s="77">
      <c r="A39" s="162" t="n"/>
      <c r="B39" s="13" t="inlineStr">
        <is>
          <t>Assistance utilisateur (hard, soft)</t>
        </is>
      </c>
      <c r="C39" s="14" t="n">
        <v>2</v>
      </c>
    </row>
    <row r="40" ht="15.75" customHeight="1" s="77">
      <c r="A40" s="163" t="n"/>
      <c r="B40" s="19" t="inlineStr">
        <is>
          <t>Sous-total</t>
        </is>
      </c>
      <c r="C40" s="23">
        <f>SUM(C38:C39)</f>
        <v/>
      </c>
    </row>
    <row r="41" ht="15.75" customHeight="1" s="77">
      <c r="A41" s="30" t="n"/>
      <c r="B41" s="30" t="n"/>
      <c r="C41" s="31" t="n"/>
    </row>
    <row r="42" ht="15.75" customHeight="1" s="77">
      <c r="A42" s="30" t="n"/>
      <c r="B42" s="30" t="n"/>
      <c r="C42" s="31">
        <f>SUM(C6,C33,C34,C37,C40)</f>
        <v/>
      </c>
    </row>
    <row r="43" ht="15.75" customHeight="1" s="77"/>
    <row r="44" ht="15.75" customHeight="1" s="77"/>
    <row r="45" ht="15.75" customHeight="1" s="77"/>
    <row r="46" ht="15.75" customHeight="1" s="77"/>
    <row r="47" ht="15.75" customHeight="1" s="77"/>
    <row r="48" ht="15.75" customHeight="1" s="77"/>
    <row r="49" ht="15.75" customHeight="1" s="77"/>
    <row r="50" ht="15.75" customHeight="1" s="77"/>
    <row r="51" ht="15.75" customHeight="1" s="77"/>
    <row r="52" ht="15.75" customHeight="1" s="77"/>
    <row r="53" ht="15.75" customHeight="1" s="77"/>
    <row r="54" ht="15.75" customHeight="1" s="77"/>
    <row r="55" ht="15.75" customHeight="1" s="77"/>
    <row r="56" ht="15.75" customHeight="1" s="77"/>
    <row r="57" ht="15.75" customHeight="1" s="77"/>
    <row r="58" ht="15.75" customHeight="1" s="77"/>
    <row r="59" ht="15.75" customHeight="1" s="77"/>
    <row r="60" ht="15.75" customHeight="1" s="77"/>
    <row r="61" ht="15.75" customHeight="1" s="77"/>
    <row r="62" ht="15.75" customHeight="1" s="77"/>
    <row r="63" ht="15.75" customHeight="1" s="77"/>
    <row r="64" ht="15.75" customHeight="1" s="77"/>
    <row r="65" ht="15.75" customHeight="1" s="77"/>
    <row r="66" ht="15.75" customHeight="1" s="77"/>
    <row r="67" ht="15.75" customHeight="1" s="77"/>
    <row r="68" ht="15.75" customHeight="1" s="77"/>
    <row r="69" ht="15.75" customHeight="1" s="77"/>
    <row r="70" ht="15.75" customHeight="1" s="77"/>
    <row r="71" ht="15.75" customHeight="1" s="77"/>
    <row r="72" ht="15.75" customHeight="1" s="77"/>
    <row r="73" ht="15.75" customHeight="1" s="77"/>
    <row r="74" ht="15.75" customHeight="1" s="77"/>
    <row r="75" ht="15.75" customHeight="1" s="77"/>
    <row r="76" ht="15.75" customHeight="1" s="77"/>
    <row r="77" ht="15.75" customHeight="1" s="77"/>
    <row r="78" ht="15.75" customHeight="1" s="77"/>
    <row r="79" ht="15.75" customHeight="1" s="77"/>
    <row r="80" ht="15.75" customHeight="1" s="77"/>
    <row r="81" ht="15.75" customHeight="1" s="77"/>
    <row r="82" ht="15.75" customHeight="1" s="77"/>
    <row r="83" ht="15.75" customHeight="1" s="77"/>
    <row r="84" ht="15.75" customHeight="1" s="77"/>
    <row r="85" ht="15.75" customHeight="1" s="77"/>
    <row r="86" ht="15.75" customHeight="1" s="77"/>
    <row r="87" ht="15.75" customHeight="1" s="77"/>
    <row r="88" ht="15.75" customHeight="1" s="77"/>
    <row r="89" ht="15.75" customHeight="1" s="77"/>
    <row r="90" ht="15.75" customHeight="1" s="77"/>
    <row r="91" ht="15.75" customHeight="1" s="77"/>
    <row r="92" ht="15.75" customHeight="1" s="77"/>
    <row r="93" ht="15.75" customHeight="1" s="77"/>
    <row r="94" ht="15.75" customHeight="1" s="77"/>
    <row r="95" ht="15.75" customHeight="1" s="77"/>
    <row r="96" ht="15.75" customHeight="1" s="77"/>
    <row r="97" ht="15.75" customHeight="1" s="77"/>
    <row r="98" ht="15.75" customHeight="1" s="77"/>
    <row r="99" ht="15.75" customHeight="1" s="77"/>
    <row r="100" ht="15.75" customHeight="1" s="77"/>
    <row r="101" ht="15.75" customHeight="1" s="77"/>
    <row r="102" ht="15.75" customHeight="1" s="77"/>
    <row r="103" ht="15.75" customHeight="1" s="77"/>
    <row r="104" ht="15.75" customHeight="1" s="77"/>
    <row r="105" ht="15.75" customHeight="1" s="77"/>
    <row r="106" ht="15.75" customHeight="1" s="77"/>
    <row r="107" ht="15.75" customHeight="1" s="77"/>
    <row r="108" ht="15.75" customHeight="1" s="77"/>
    <row r="109" ht="15.75" customHeight="1" s="77"/>
    <row r="110" ht="15.75" customHeight="1" s="77"/>
    <row r="111" ht="15.75" customHeight="1" s="77"/>
    <row r="112" ht="15.75" customHeight="1" s="77"/>
    <row r="113" ht="15.75" customHeight="1" s="77"/>
    <row r="114" ht="15.75" customHeight="1" s="77"/>
    <row r="115" ht="15.75" customHeight="1" s="77"/>
    <row r="116" ht="15.75" customHeight="1" s="77"/>
    <row r="117" ht="15.75" customHeight="1" s="77"/>
    <row r="118" ht="15.75" customHeight="1" s="77"/>
    <row r="119" ht="15.75" customHeight="1" s="77"/>
    <row r="120" ht="15.75" customHeight="1" s="77"/>
    <row r="121" ht="15.75" customHeight="1" s="77"/>
    <row r="122" ht="15.75" customHeight="1" s="77"/>
    <row r="123" ht="15.75" customHeight="1" s="77"/>
    <row r="124" ht="15.75" customHeight="1" s="77"/>
    <row r="125" ht="15.75" customHeight="1" s="77"/>
    <row r="126" ht="15.75" customHeight="1" s="77"/>
    <row r="127" ht="15.75" customHeight="1" s="77"/>
    <row r="128" ht="15.75" customHeight="1" s="77"/>
    <row r="129" ht="15.75" customHeight="1" s="77"/>
    <row r="130" ht="15.75" customHeight="1" s="77"/>
    <row r="131" ht="15.75" customHeight="1" s="77"/>
    <row r="132" ht="15.75" customHeight="1" s="77"/>
    <row r="133" ht="15.75" customHeight="1" s="77"/>
    <row r="134" ht="15.75" customHeight="1" s="77"/>
    <row r="135" ht="15.75" customHeight="1" s="77"/>
    <row r="136" ht="15.75" customHeight="1" s="77"/>
    <row r="137" ht="15.75" customHeight="1" s="77"/>
    <row r="138" ht="15.75" customHeight="1" s="77"/>
    <row r="139" ht="15.75" customHeight="1" s="77"/>
    <row r="140" ht="15.75" customHeight="1" s="77"/>
    <row r="141" ht="15.75" customHeight="1" s="77"/>
    <row r="142" ht="15.75" customHeight="1" s="77"/>
    <row r="143" ht="15.75" customHeight="1" s="77"/>
    <row r="144" ht="15.75" customHeight="1" s="77"/>
    <row r="145" ht="15.75" customHeight="1" s="77"/>
    <row r="146" ht="15.75" customHeight="1" s="77"/>
    <row r="147" ht="15.75" customHeight="1" s="77"/>
    <row r="148" ht="15.75" customHeight="1" s="77"/>
    <row r="149" ht="15.75" customHeight="1" s="77"/>
    <row r="150" ht="15.75" customHeight="1" s="77"/>
    <row r="151" ht="15.75" customHeight="1" s="77"/>
    <row r="152" ht="15.75" customHeight="1" s="77"/>
    <row r="153" ht="15.75" customHeight="1" s="77"/>
    <row r="154" ht="15.75" customHeight="1" s="77"/>
    <row r="155" ht="15.75" customHeight="1" s="77"/>
    <row r="156" ht="15.75" customHeight="1" s="77"/>
    <row r="157" ht="15.75" customHeight="1" s="77"/>
    <row r="158" ht="15.75" customHeight="1" s="77"/>
    <row r="159" ht="15.75" customHeight="1" s="77"/>
    <row r="160" ht="15.75" customHeight="1" s="77"/>
    <row r="161" ht="15.75" customHeight="1" s="77"/>
    <row r="162" ht="15.75" customHeight="1" s="77"/>
    <row r="163" ht="15.75" customHeight="1" s="77"/>
    <row r="164" ht="15.75" customHeight="1" s="77"/>
    <row r="165" ht="15.75" customHeight="1" s="77"/>
    <row r="166" ht="15.75" customHeight="1" s="77"/>
    <row r="167" ht="15.75" customHeight="1" s="77"/>
    <row r="168" ht="15.75" customHeight="1" s="77"/>
    <row r="169" ht="15.75" customHeight="1" s="77"/>
    <row r="170" ht="15.75" customHeight="1" s="77"/>
    <row r="171" ht="15.75" customHeight="1" s="77"/>
    <row r="172" ht="15.75" customHeight="1" s="77"/>
    <row r="173" ht="15.75" customHeight="1" s="77"/>
    <row r="174" ht="15.75" customHeight="1" s="77"/>
    <row r="175" ht="15.75" customHeight="1" s="77"/>
    <row r="176" ht="15.75" customHeight="1" s="77"/>
    <row r="177" ht="15.75" customHeight="1" s="77"/>
    <row r="178" ht="15.75" customHeight="1" s="77"/>
    <row r="179" ht="15.75" customHeight="1" s="77"/>
    <row r="180" ht="15.75" customHeight="1" s="77"/>
    <row r="181" ht="15.75" customHeight="1" s="77"/>
    <row r="182" ht="15.75" customHeight="1" s="77"/>
    <row r="183" ht="15.75" customHeight="1" s="77"/>
    <row r="184" ht="15.75" customHeight="1" s="77"/>
    <row r="185" ht="15.75" customHeight="1" s="77"/>
    <row r="186" ht="15.75" customHeight="1" s="77"/>
    <row r="187" ht="15.75" customHeight="1" s="77"/>
    <row r="188" ht="15.75" customHeight="1" s="77"/>
    <row r="189" ht="15.75" customHeight="1" s="77"/>
    <row r="190" ht="15.75" customHeight="1" s="77"/>
    <row r="191" ht="15.75" customHeight="1" s="77"/>
    <row r="192" ht="15.75" customHeight="1" s="77"/>
    <row r="193" ht="15.75" customHeight="1" s="77"/>
    <row r="194" ht="15.75" customHeight="1" s="77"/>
    <row r="195" ht="15.75" customHeight="1" s="77"/>
    <row r="196" ht="15.75" customHeight="1" s="77"/>
    <row r="197" ht="15.75" customHeight="1" s="77"/>
    <row r="198" ht="15.75" customHeight="1" s="77"/>
    <row r="199" ht="15.75" customHeight="1" s="77"/>
    <row r="200" ht="15.75" customHeight="1" s="77"/>
    <row r="201" ht="15.75" customHeight="1" s="77"/>
    <row r="202" ht="15.75" customHeight="1" s="77"/>
    <row r="203" ht="15.75" customHeight="1" s="77"/>
    <row r="204" ht="15.75" customHeight="1" s="77"/>
    <row r="205" ht="15.75" customHeight="1" s="77"/>
    <row r="206" ht="15.75" customHeight="1" s="77"/>
    <row r="207" ht="15.75" customHeight="1" s="77"/>
    <row r="208" ht="15.75" customHeight="1" s="77"/>
    <row r="209" ht="15.75" customHeight="1" s="77"/>
    <row r="210" ht="15.75" customHeight="1" s="77"/>
    <row r="211" ht="15.75" customHeight="1" s="77"/>
    <row r="212" ht="15.75" customHeight="1" s="77"/>
    <row r="213" ht="15.75" customHeight="1" s="77"/>
    <row r="214" ht="15.75" customHeight="1" s="77"/>
    <row r="215" ht="15.75" customHeight="1" s="77"/>
    <row r="216" ht="15.75" customHeight="1" s="77"/>
    <row r="217" ht="15.75" customHeight="1" s="77"/>
    <row r="218" ht="15.75" customHeight="1" s="77"/>
    <row r="219" ht="15.75" customHeight="1" s="77"/>
    <row r="220" ht="15.75" customHeight="1" s="77"/>
    <row r="221" ht="15.75" customHeight="1" s="77"/>
    <row r="222" ht="15.75" customHeight="1" s="77"/>
    <row r="223" ht="15.75" customHeight="1" s="77"/>
    <row r="224" ht="15.75" customHeight="1" s="77"/>
    <row r="225" ht="15.75" customHeight="1" s="77"/>
    <row r="226" ht="15.75" customHeight="1" s="77"/>
    <row r="227" ht="15.75" customHeight="1" s="77"/>
    <row r="228" ht="15.75" customHeight="1" s="77"/>
    <row r="229" ht="15.75" customHeight="1" s="77"/>
    <row r="230" ht="15.75" customHeight="1" s="77"/>
    <row r="231" ht="15.75" customHeight="1" s="77"/>
    <row r="232" ht="15.75" customHeight="1" s="77"/>
    <row r="233" ht="15.75" customHeight="1" s="77"/>
    <row r="234" ht="15.75" customHeight="1" s="77"/>
    <row r="235" ht="15.75" customHeight="1" s="77"/>
    <row r="236" ht="15.75" customHeight="1" s="77"/>
    <row r="237" ht="15.75" customHeight="1" s="77"/>
    <row r="238" ht="15.75" customHeight="1" s="77"/>
    <row r="239" ht="15.75" customHeight="1" s="77"/>
    <row r="240" ht="15.75" customHeight="1" s="77"/>
    <row r="241" ht="15.75" customHeight="1" s="77"/>
    <row r="242" ht="15.75" customHeight="1" s="77"/>
    <row r="243" ht="15.75" customHeight="1" s="77"/>
    <row r="244" ht="15.75" customHeight="1" s="77"/>
    <row r="245" ht="15.75" customHeight="1" s="77"/>
    <row r="246" ht="15.75" customHeight="1" s="77"/>
    <row r="247" ht="15.75" customHeight="1" s="77"/>
    <row r="248" ht="15.75" customHeight="1" s="77"/>
    <row r="249" ht="15.75" customHeight="1" s="77"/>
    <row r="250" ht="15.75" customHeight="1" s="77"/>
    <row r="251" ht="15.75" customHeight="1" s="77"/>
    <row r="252" ht="15.75" customHeight="1" s="77"/>
    <row r="253" ht="15.75" customHeight="1" s="77"/>
    <row r="254" ht="15.75" customHeight="1" s="77"/>
    <row r="255" ht="15.75" customHeight="1" s="77"/>
    <row r="256" ht="15.75" customHeight="1" s="77"/>
    <row r="257" ht="15.75" customHeight="1" s="77"/>
    <row r="258" ht="15.75" customHeight="1" s="77"/>
    <row r="259" ht="15.75" customHeight="1" s="77"/>
    <row r="260" ht="15.75" customHeight="1" s="77"/>
    <row r="261" ht="15.75" customHeight="1" s="77"/>
    <row r="262" ht="15.75" customHeight="1" s="77"/>
    <row r="263" ht="15.75" customHeight="1" s="77"/>
    <row r="264" ht="15.75" customHeight="1" s="77"/>
    <row r="265" ht="15.75" customHeight="1" s="77"/>
    <row r="266" ht="15.75" customHeight="1" s="77"/>
    <row r="267" ht="15.75" customHeight="1" s="77"/>
    <row r="268" ht="15.75" customHeight="1" s="77"/>
    <row r="269" ht="15.75" customHeight="1" s="77"/>
    <row r="270" ht="15.75" customHeight="1" s="77"/>
    <row r="271" ht="15.75" customHeight="1" s="77"/>
    <row r="272" ht="15.75" customHeight="1" s="77"/>
    <row r="273" ht="15.75" customHeight="1" s="77"/>
    <row r="274" ht="15.75" customHeight="1" s="77"/>
    <row r="275" ht="15.75" customHeight="1" s="77"/>
    <row r="276" ht="15.75" customHeight="1" s="77"/>
    <row r="277" ht="15.75" customHeight="1" s="77"/>
    <row r="278" ht="15.75" customHeight="1" s="77"/>
    <row r="279" ht="15.75" customHeight="1" s="77"/>
    <row r="280" ht="15.75" customHeight="1" s="77"/>
    <row r="281" ht="15.75" customHeight="1" s="77"/>
    <row r="282" ht="15.75" customHeight="1" s="77"/>
    <row r="283" ht="15.75" customHeight="1" s="77"/>
    <row r="284" ht="15.75" customHeight="1" s="77"/>
    <row r="285" ht="15.75" customHeight="1" s="77"/>
    <row r="286" ht="15.75" customHeight="1" s="77"/>
    <row r="287" ht="15.75" customHeight="1" s="77"/>
    <row r="288" ht="15.75" customHeight="1" s="77"/>
    <row r="289" ht="15.75" customHeight="1" s="77"/>
    <row r="290" ht="15.75" customHeight="1" s="77"/>
    <row r="291" ht="15.75" customHeight="1" s="77"/>
    <row r="292" ht="15.75" customHeight="1" s="77"/>
    <row r="293" ht="15.75" customHeight="1" s="77"/>
    <row r="294" ht="15.75" customHeight="1" s="77"/>
    <row r="295" ht="15.75" customHeight="1" s="77"/>
    <row r="296" ht="15.75" customHeight="1" s="77"/>
    <row r="297" ht="15.75" customHeight="1" s="77"/>
    <row r="298" ht="15.75" customHeight="1" s="77"/>
    <row r="299" ht="15.75" customHeight="1" s="77"/>
    <row r="300" ht="15.75" customHeight="1" s="77"/>
    <row r="301" ht="15.75" customHeight="1" s="77"/>
    <row r="302" ht="15.75" customHeight="1" s="77"/>
    <row r="303" ht="15.75" customHeight="1" s="77"/>
    <row r="304" ht="15.75" customHeight="1" s="77"/>
    <row r="305" ht="15.75" customHeight="1" s="77"/>
    <row r="306" ht="15.75" customHeight="1" s="77"/>
    <row r="307" ht="15.75" customHeight="1" s="77"/>
    <row r="308" ht="15.75" customHeight="1" s="77"/>
    <row r="309" ht="15.75" customHeight="1" s="77"/>
    <row r="310" ht="15.75" customHeight="1" s="77"/>
    <row r="311" ht="15.75" customHeight="1" s="77"/>
    <row r="312" ht="15.75" customHeight="1" s="77"/>
    <row r="313" ht="15.75" customHeight="1" s="77"/>
    <row r="314" ht="15.75" customHeight="1" s="77"/>
    <row r="315" ht="15.75" customHeight="1" s="77"/>
    <row r="316" ht="15.75" customHeight="1" s="77"/>
    <row r="317" ht="15.75" customHeight="1" s="77"/>
    <row r="318" ht="15.75" customHeight="1" s="77"/>
    <row r="319" ht="15.75" customHeight="1" s="77"/>
    <row r="320" ht="15.75" customHeight="1" s="77"/>
    <row r="321" ht="15.75" customHeight="1" s="77"/>
    <row r="322" ht="15.75" customHeight="1" s="77"/>
    <row r="323" ht="15.75" customHeight="1" s="77"/>
    <row r="324" ht="15.75" customHeight="1" s="77"/>
    <row r="325" ht="15.75" customHeight="1" s="77"/>
    <row r="326" ht="15.75" customHeight="1" s="77"/>
    <row r="327" ht="15.75" customHeight="1" s="77"/>
    <row r="328" ht="15.75" customHeight="1" s="77"/>
    <row r="329" ht="15.75" customHeight="1" s="77"/>
    <row r="330" ht="15.75" customHeight="1" s="77"/>
    <row r="331" ht="15.75" customHeight="1" s="77"/>
    <row r="332" ht="15.75" customHeight="1" s="77"/>
    <row r="333" ht="15.75" customHeight="1" s="77"/>
    <row r="334" ht="15.75" customHeight="1" s="77"/>
    <row r="335" ht="15.75" customHeight="1" s="77"/>
    <row r="336" ht="15.75" customHeight="1" s="77"/>
    <row r="337" ht="15.75" customHeight="1" s="77"/>
    <row r="338" ht="15.75" customHeight="1" s="77"/>
    <row r="339" ht="15.75" customHeight="1" s="77"/>
    <row r="340" ht="15.75" customHeight="1" s="77"/>
    <row r="341" ht="15.75" customHeight="1" s="77"/>
    <row r="342" ht="15.75" customHeight="1" s="77"/>
    <row r="343" ht="15.75" customHeight="1" s="77"/>
    <row r="344" ht="15.75" customHeight="1" s="77"/>
    <row r="345" ht="15.75" customHeight="1" s="77"/>
    <row r="346" ht="15.75" customHeight="1" s="77"/>
    <row r="347" ht="15.75" customHeight="1" s="77"/>
    <row r="348" ht="15.75" customHeight="1" s="77"/>
    <row r="349" ht="15.75" customHeight="1" s="77"/>
    <row r="350" ht="15.75" customHeight="1" s="77"/>
    <row r="351" ht="15.75" customHeight="1" s="77"/>
    <row r="352" ht="15.75" customHeight="1" s="77"/>
    <row r="353" ht="15.75" customHeight="1" s="77"/>
    <row r="354" ht="15.75" customHeight="1" s="77"/>
    <row r="355" ht="15.75" customHeight="1" s="77"/>
    <row r="356" ht="15.75" customHeight="1" s="77"/>
    <row r="357" ht="15.75" customHeight="1" s="77"/>
    <row r="358" ht="15.75" customHeight="1" s="77"/>
    <row r="359" ht="15.75" customHeight="1" s="77"/>
    <row r="360" ht="15.75" customHeight="1" s="77"/>
    <row r="361" ht="15.75" customHeight="1" s="77"/>
    <row r="362" ht="15.75" customHeight="1" s="77"/>
    <row r="363" ht="15.75" customHeight="1" s="77"/>
    <row r="364" ht="15.75" customHeight="1" s="77"/>
    <row r="365" ht="15.75" customHeight="1" s="77"/>
    <row r="366" ht="15.75" customHeight="1" s="77"/>
    <row r="367" ht="15.75" customHeight="1" s="77"/>
    <row r="368" ht="15.75" customHeight="1" s="77"/>
    <row r="369" ht="15.75" customHeight="1" s="77"/>
    <row r="370" ht="15.75" customHeight="1" s="77"/>
    <row r="371" ht="15.75" customHeight="1" s="77"/>
    <row r="372" ht="15.75" customHeight="1" s="77"/>
    <row r="373" ht="15.75" customHeight="1" s="77"/>
    <row r="374" ht="15.75" customHeight="1" s="77"/>
    <row r="375" ht="15.75" customHeight="1" s="77"/>
    <row r="376" ht="15.75" customHeight="1" s="77"/>
    <row r="377" ht="15.75" customHeight="1" s="77"/>
    <row r="378" ht="15.75" customHeight="1" s="77"/>
    <row r="379" ht="15.75" customHeight="1" s="77"/>
    <row r="380" ht="15.75" customHeight="1" s="77"/>
    <row r="381" ht="15.75" customHeight="1" s="77"/>
    <row r="382" ht="15.75" customHeight="1" s="77"/>
    <row r="383" ht="15.75" customHeight="1" s="77"/>
    <row r="384" ht="15.75" customHeight="1" s="77"/>
    <row r="385" ht="15.75" customHeight="1" s="77"/>
    <row r="386" ht="15.75" customHeight="1" s="77"/>
    <row r="387" ht="15.75" customHeight="1" s="77"/>
    <row r="388" ht="15.75" customHeight="1" s="77"/>
    <row r="389" ht="15.75" customHeight="1" s="77"/>
    <row r="390" ht="15.75" customHeight="1" s="77"/>
    <row r="391" ht="15.75" customHeight="1" s="77"/>
    <row r="392" ht="15.75" customHeight="1" s="77"/>
    <row r="393" ht="15.75" customHeight="1" s="77"/>
    <row r="394" ht="15.75" customHeight="1" s="77"/>
    <row r="395" ht="15.75" customHeight="1" s="77"/>
    <row r="396" ht="15.75" customHeight="1" s="77"/>
    <row r="397" ht="15.75" customHeight="1" s="77"/>
    <row r="398" ht="15.75" customHeight="1" s="77"/>
    <row r="399" ht="15.75" customHeight="1" s="77"/>
    <row r="400" ht="15.75" customHeight="1" s="77"/>
    <row r="401" ht="15.75" customHeight="1" s="77"/>
    <row r="402" ht="15.75" customHeight="1" s="77"/>
    <row r="403" ht="15.75" customHeight="1" s="77"/>
    <row r="404" ht="15.75" customHeight="1" s="77"/>
    <row r="405" ht="15.75" customHeight="1" s="77"/>
    <row r="406" ht="15.75" customHeight="1" s="77"/>
    <row r="407" ht="15.75" customHeight="1" s="77"/>
    <row r="408" ht="15.75" customHeight="1" s="77"/>
    <row r="409" ht="15.75" customHeight="1" s="77"/>
    <row r="410" ht="15.75" customHeight="1" s="77"/>
    <row r="411" ht="15.75" customHeight="1" s="77"/>
    <row r="412" ht="15.75" customHeight="1" s="77"/>
    <row r="413" ht="15.75" customHeight="1" s="77"/>
    <row r="414" ht="15.75" customHeight="1" s="77"/>
    <row r="415" ht="15.75" customHeight="1" s="77"/>
    <row r="416" ht="15.75" customHeight="1" s="77"/>
    <row r="417" ht="15.75" customHeight="1" s="77"/>
    <row r="418" ht="15.75" customHeight="1" s="77"/>
    <row r="419" ht="15.75" customHeight="1" s="77"/>
    <row r="420" ht="15.75" customHeight="1" s="77"/>
    <row r="421" ht="15.75" customHeight="1" s="77"/>
    <row r="422" ht="15.75" customHeight="1" s="77"/>
    <row r="423" ht="15.75" customHeight="1" s="77"/>
    <row r="424" ht="15.75" customHeight="1" s="77"/>
    <row r="425" ht="15.75" customHeight="1" s="77"/>
    <row r="426" ht="15.75" customHeight="1" s="77"/>
    <row r="427" ht="15.75" customHeight="1" s="77"/>
    <row r="428" ht="15.75" customHeight="1" s="77"/>
    <row r="429" ht="15.75" customHeight="1" s="77"/>
    <row r="430" ht="15.75" customHeight="1" s="77"/>
    <row r="431" ht="15.75" customHeight="1" s="77"/>
    <row r="432" ht="15.75" customHeight="1" s="77"/>
    <row r="433" ht="15.75" customHeight="1" s="77"/>
    <row r="434" ht="15.75" customHeight="1" s="77"/>
    <row r="435" ht="15.75" customHeight="1" s="77"/>
    <row r="436" ht="15.75" customHeight="1" s="77"/>
    <row r="437" ht="15.75" customHeight="1" s="77"/>
    <row r="438" ht="15.75" customHeight="1" s="77"/>
    <row r="439" ht="15.75" customHeight="1" s="77"/>
    <row r="440" ht="15.75" customHeight="1" s="77"/>
    <row r="441" ht="15.75" customHeight="1" s="77"/>
    <row r="442" ht="15.75" customHeight="1" s="77"/>
    <row r="443" ht="15.75" customHeight="1" s="77"/>
    <row r="444" ht="15.75" customHeight="1" s="77"/>
    <row r="445" ht="15.75" customHeight="1" s="77"/>
    <row r="446" ht="15.75" customHeight="1" s="77"/>
    <row r="447" ht="15.75" customHeight="1" s="77"/>
    <row r="448" ht="15.75" customHeight="1" s="77"/>
    <row r="449" ht="15.75" customHeight="1" s="77"/>
    <row r="450" ht="15.75" customHeight="1" s="77"/>
    <row r="451" ht="15.75" customHeight="1" s="77"/>
    <row r="452" ht="15.75" customHeight="1" s="77"/>
    <row r="453" ht="15.75" customHeight="1" s="77"/>
    <row r="454" ht="15.75" customHeight="1" s="77"/>
    <row r="455" ht="15.75" customHeight="1" s="77"/>
    <row r="456" ht="15.75" customHeight="1" s="77"/>
    <row r="457" ht="15.75" customHeight="1" s="77"/>
    <row r="458" ht="15.75" customHeight="1" s="77"/>
    <row r="459" ht="15.75" customHeight="1" s="77"/>
    <row r="460" ht="15.75" customHeight="1" s="77"/>
    <row r="461" ht="15.75" customHeight="1" s="77"/>
    <row r="462" ht="15.75" customHeight="1" s="77"/>
    <row r="463" ht="15.75" customHeight="1" s="77"/>
    <row r="464" ht="15.75" customHeight="1" s="77"/>
    <row r="465" ht="15.75" customHeight="1" s="77"/>
    <row r="466" ht="15.75" customHeight="1" s="77"/>
    <row r="467" ht="15.75" customHeight="1" s="77"/>
    <row r="468" ht="15.75" customHeight="1" s="77"/>
    <row r="469" ht="15.75" customHeight="1" s="77"/>
    <row r="470" ht="15.75" customHeight="1" s="77"/>
    <row r="471" ht="15.75" customHeight="1" s="77"/>
    <row r="472" ht="15.75" customHeight="1" s="77"/>
    <row r="473" ht="15.75" customHeight="1" s="77"/>
    <row r="474" ht="15.75" customHeight="1" s="77"/>
    <row r="475" ht="15.75" customHeight="1" s="77"/>
    <row r="476" ht="15.75" customHeight="1" s="77"/>
    <row r="477" ht="15.75" customHeight="1" s="77"/>
    <row r="478" ht="15.75" customHeight="1" s="77"/>
    <row r="479" ht="15.75" customHeight="1" s="77"/>
    <row r="480" ht="15.75" customHeight="1" s="77"/>
    <row r="481" ht="15.75" customHeight="1" s="77"/>
    <row r="482" ht="15.75" customHeight="1" s="77"/>
    <row r="483" ht="15.75" customHeight="1" s="77"/>
    <row r="484" ht="15.75" customHeight="1" s="77"/>
    <row r="485" ht="15.75" customHeight="1" s="77"/>
    <row r="486" ht="15.75" customHeight="1" s="77"/>
    <row r="487" ht="15.75" customHeight="1" s="77"/>
    <row r="488" ht="15.75" customHeight="1" s="77"/>
    <row r="489" ht="15.75" customHeight="1" s="77"/>
    <row r="490" ht="15.75" customHeight="1" s="77"/>
    <row r="491" ht="15.75" customHeight="1" s="77"/>
    <row r="492" ht="15.75" customHeight="1" s="77"/>
    <row r="493" ht="15.75" customHeight="1" s="77"/>
    <row r="494" ht="15.75" customHeight="1" s="77"/>
    <row r="495" ht="15.75" customHeight="1" s="77"/>
    <row r="496" ht="15.75" customHeight="1" s="77"/>
    <row r="497" ht="15.75" customHeight="1" s="77"/>
    <row r="498" ht="15.75" customHeight="1" s="77"/>
    <row r="499" ht="15.75" customHeight="1" s="77"/>
    <row r="500" ht="15.75" customHeight="1" s="77"/>
    <row r="501" ht="15.75" customHeight="1" s="77"/>
    <row r="502" ht="15.75" customHeight="1" s="77"/>
    <row r="503" ht="15.75" customHeight="1" s="77"/>
    <row r="504" ht="15.75" customHeight="1" s="77"/>
    <row r="505" ht="15.75" customHeight="1" s="77"/>
    <row r="506" ht="15.75" customHeight="1" s="77"/>
    <row r="507" ht="15.75" customHeight="1" s="77"/>
    <row r="508" ht="15.75" customHeight="1" s="77"/>
    <row r="509" ht="15.75" customHeight="1" s="77"/>
    <row r="510" ht="15.75" customHeight="1" s="77"/>
    <row r="511" ht="15.75" customHeight="1" s="77"/>
    <row r="512" ht="15.75" customHeight="1" s="77"/>
    <row r="513" ht="15.75" customHeight="1" s="77"/>
    <row r="514" ht="15.75" customHeight="1" s="77"/>
    <row r="515" ht="15.75" customHeight="1" s="77"/>
    <row r="516" ht="15.75" customHeight="1" s="77"/>
    <row r="517" ht="15.75" customHeight="1" s="77"/>
    <row r="518" ht="15.75" customHeight="1" s="77"/>
    <row r="519" ht="15.75" customHeight="1" s="77"/>
    <row r="520" ht="15.75" customHeight="1" s="77"/>
    <row r="521" ht="15.75" customHeight="1" s="77"/>
    <row r="522" ht="15.75" customHeight="1" s="77"/>
    <row r="523" ht="15.75" customHeight="1" s="77"/>
    <row r="524" ht="15.75" customHeight="1" s="77"/>
    <row r="525" ht="15.75" customHeight="1" s="77"/>
    <row r="526" ht="15.75" customHeight="1" s="77"/>
    <row r="527" ht="15.75" customHeight="1" s="77"/>
    <row r="528" ht="15.75" customHeight="1" s="77"/>
    <row r="529" ht="15.75" customHeight="1" s="77"/>
    <row r="530" ht="15.75" customHeight="1" s="77"/>
    <row r="531" ht="15.75" customHeight="1" s="77"/>
    <row r="532" ht="15.75" customHeight="1" s="77"/>
    <row r="533" ht="15.75" customHeight="1" s="77"/>
    <row r="534" ht="15.75" customHeight="1" s="77"/>
    <row r="535" ht="15.75" customHeight="1" s="77"/>
    <row r="536" ht="15.75" customHeight="1" s="77"/>
    <row r="537" ht="15.75" customHeight="1" s="77"/>
    <row r="538" ht="15.75" customHeight="1" s="77"/>
    <row r="539" ht="15.75" customHeight="1" s="77"/>
    <row r="540" ht="15.75" customHeight="1" s="77"/>
    <row r="541" ht="15.75" customHeight="1" s="77"/>
    <row r="542" ht="15.75" customHeight="1" s="77"/>
    <row r="543" ht="15.75" customHeight="1" s="77"/>
    <row r="544" ht="15.75" customHeight="1" s="77"/>
    <row r="545" ht="15.75" customHeight="1" s="77"/>
    <row r="546" ht="15.75" customHeight="1" s="77"/>
    <row r="547" ht="15.75" customHeight="1" s="77"/>
    <row r="548" ht="15.75" customHeight="1" s="77"/>
    <row r="549" ht="15.75" customHeight="1" s="77"/>
    <row r="550" ht="15.75" customHeight="1" s="77"/>
    <row r="551" ht="15.75" customHeight="1" s="77"/>
    <row r="552" ht="15.75" customHeight="1" s="77"/>
    <row r="553" ht="15.75" customHeight="1" s="77"/>
    <row r="554" ht="15.75" customHeight="1" s="77"/>
    <row r="555" ht="15.75" customHeight="1" s="77"/>
    <row r="556" ht="15.75" customHeight="1" s="77"/>
    <row r="557" ht="15.75" customHeight="1" s="77"/>
    <row r="558" ht="15.75" customHeight="1" s="77"/>
    <row r="559" ht="15.75" customHeight="1" s="77"/>
    <row r="560" ht="15.75" customHeight="1" s="77"/>
    <row r="561" ht="15.75" customHeight="1" s="77"/>
    <row r="562" ht="15.75" customHeight="1" s="77"/>
    <row r="563" ht="15.75" customHeight="1" s="77"/>
    <row r="564" ht="15.75" customHeight="1" s="77"/>
    <row r="565" ht="15.75" customHeight="1" s="77"/>
    <row r="566" ht="15.75" customHeight="1" s="77"/>
    <row r="567" ht="15.75" customHeight="1" s="77"/>
    <row r="568" ht="15.75" customHeight="1" s="77"/>
    <row r="569" ht="15.75" customHeight="1" s="77"/>
    <row r="570" ht="15.75" customHeight="1" s="77"/>
    <row r="571" ht="15.75" customHeight="1" s="77"/>
    <row r="572" ht="15.75" customHeight="1" s="77"/>
    <row r="573" ht="15.75" customHeight="1" s="77"/>
    <row r="574" ht="15.75" customHeight="1" s="77"/>
    <row r="575" ht="15.75" customHeight="1" s="77"/>
    <row r="576" ht="15.75" customHeight="1" s="77"/>
    <row r="577" ht="15.75" customHeight="1" s="77"/>
    <row r="578" ht="15.75" customHeight="1" s="77"/>
    <row r="579" ht="15.75" customHeight="1" s="77"/>
    <row r="580" ht="15.75" customHeight="1" s="77"/>
    <row r="581" ht="15.75" customHeight="1" s="77"/>
    <row r="582" ht="15.75" customHeight="1" s="77"/>
    <row r="583" ht="15.75" customHeight="1" s="77"/>
    <row r="584" ht="15.75" customHeight="1" s="77"/>
    <row r="585" ht="15.75" customHeight="1" s="77"/>
    <row r="586" ht="15.75" customHeight="1" s="77"/>
    <row r="587" ht="15.75" customHeight="1" s="77"/>
    <row r="588" ht="15.75" customHeight="1" s="77"/>
    <row r="589" ht="15.75" customHeight="1" s="77"/>
    <row r="590" ht="15.75" customHeight="1" s="77"/>
    <row r="591" ht="15.75" customHeight="1" s="77"/>
    <row r="592" ht="15.75" customHeight="1" s="77"/>
    <row r="593" ht="15.75" customHeight="1" s="77"/>
    <row r="594" ht="15.75" customHeight="1" s="77"/>
    <row r="595" ht="15.75" customHeight="1" s="77"/>
    <row r="596" ht="15.75" customHeight="1" s="77"/>
    <row r="597" ht="15.75" customHeight="1" s="77"/>
    <row r="598" ht="15.75" customHeight="1" s="77"/>
    <row r="599" ht="15.75" customHeight="1" s="77"/>
    <row r="600" ht="15.75" customHeight="1" s="77"/>
    <row r="601" ht="15.75" customHeight="1" s="77"/>
    <row r="602" ht="15.75" customHeight="1" s="77"/>
    <row r="603" ht="15.75" customHeight="1" s="77"/>
    <row r="604" ht="15.75" customHeight="1" s="77"/>
    <row r="605" ht="15.75" customHeight="1" s="77"/>
    <row r="606" ht="15.75" customHeight="1" s="77"/>
    <row r="607" ht="15.75" customHeight="1" s="77"/>
    <row r="608" ht="15.75" customHeight="1" s="77"/>
    <row r="609" ht="15.75" customHeight="1" s="77"/>
    <row r="610" ht="15.75" customHeight="1" s="77"/>
    <row r="611" ht="15.75" customHeight="1" s="77"/>
    <row r="612" ht="15.75" customHeight="1" s="77"/>
    <row r="613" ht="15.75" customHeight="1" s="77"/>
    <row r="614" ht="15.75" customHeight="1" s="77"/>
    <row r="615" ht="15.75" customHeight="1" s="77"/>
    <row r="616" ht="15.75" customHeight="1" s="77"/>
    <row r="617" ht="15.75" customHeight="1" s="77"/>
    <row r="618" ht="15.75" customHeight="1" s="77"/>
    <row r="619" ht="15.75" customHeight="1" s="77"/>
    <row r="620" ht="15.75" customHeight="1" s="77"/>
    <row r="621" ht="15.75" customHeight="1" s="77"/>
    <row r="622" ht="15.75" customHeight="1" s="77"/>
    <row r="623" ht="15.75" customHeight="1" s="77"/>
    <row r="624" ht="15.75" customHeight="1" s="77"/>
    <row r="625" ht="15.75" customHeight="1" s="77"/>
    <row r="626" ht="15.75" customHeight="1" s="77"/>
    <row r="627" ht="15.75" customHeight="1" s="77"/>
    <row r="628" ht="15.75" customHeight="1" s="77"/>
    <row r="629" ht="15.75" customHeight="1" s="77"/>
    <row r="630" ht="15.75" customHeight="1" s="77"/>
    <row r="631" ht="15.75" customHeight="1" s="77"/>
    <row r="632" ht="15.75" customHeight="1" s="77"/>
    <row r="633" ht="15.75" customHeight="1" s="77"/>
    <row r="634" ht="15.75" customHeight="1" s="77"/>
    <row r="635" ht="15.75" customHeight="1" s="77"/>
    <row r="636" ht="15.75" customHeight="1" s="77"/>
    <row r="637" ht="15.75" customHeight="1" s="77"/>
    <row r="638" ht="15.75" customHeight="1" s="77"/>
    <row r="639" ht="15.75" customHeight="1" s="77"/>
    <row r="640" ht="15.75" customHeight="1" s="77"/>
    <row r="641" ht="15.75" customHeight="1" s="77"/>
    <row r="642" ht="15.75" customHeight="1" s="77"/>
    <row r="643" ht="15.75" customHeight="1" s="77"/>
    <row r="644" ht="15.75" customHeight="1" s="77"/>
    <row r="645" ht="15.75" customHeight="1" s="77"/>
    <row r="646" ht="15.75" customHeight="1" s="77"/>
    <row r="647" ht="15.75" customHeight="1" s="77"/>
    <row r="648" ht="15.75" customHeight="1" s="77"/>
    <row r="649" ht="15.75" customHeight="1" s="77"/>
    <row r="650" ht="15.75" customHeight="1" s="77"/>
    <row r="651" ht="15.75" customHeight="1" s="77"/>
    <row r="652" ht="15.75" customHeight="1" s="77"/>
    <row r="653" ht="15.75" customHeight="1" s="77"/>
    <row r="654" ht="15.75" customHeight="1" s="77"/>
    <row r="655" ht="15.75" customHeight="1" s="77"/>
    <row r="656" ht="15.75" customHeight="1" s="77"/>
    <row r="657" ht="15.75" customHeight="1" s="77"/>
    <row r="658" ht="15.75" customHeight="1" s="77"/>
    <row r="659" ht="15.75" customHeight="1" s="77"/>
    <row r="660" ht="15.75" customHeight="1" s="77"/>
    <row r="661" ht="15.75" customHeight="1" s="77"/>
    <row r="662" ht="15.75" customHeight="1" s="77"/>
    <row r="663" ht="15.75" customHeight="1" s="77"/>
    <row r="664" ht="15.75" customHeight="1" s="77"/>
    <row r="665" ht="15.75" customHeight="1" s="77"/>
    <row r="666" ht="15.75" customHeight="1" s="77"/>
    <row r="667" ht="15.75" customHeight="1" s="77"/>
    <row r="668" ht="15.75" customHeight="1" s="77"/>
    <row r="669" ht="15.75" customHeight="1" s="77"/>
    <row r="670" ht="15.75" customHeight="1" s="77"/>
    <row r="671" ht="15.75" customHeight="1" s="77"/>
    <row r="672" ht="15.75" customHeight="1" s="77"/>
    <row r="673" ht="15.75" customHeight="1" s="77"/>
    <row r="674" ht="15.75" customHeight="1" s="77"/>
    <row r="675" ht="15.75" customHeight="1" s="77"/>
    <row r="676" ht="15.75" customHeight="1" s="77"/>
    <row r="677" ht="15.75" customHeight="1" s="77"/>
    <row r="678" ht="15.75" customHeight="1" s="77"/>
    <row r="679" ht="15.75" customHeight="1" s="77"/>
    <row r="680" ht="15.75" customHeight="1" s="77"/>
    <row r="681" ht="15.75" customHeight="1" s="77"/>
    <row r="682" ht="15.75" customHeight="1" s="77"/>
    <row r="683" ht="15.75" customHeight="1" s="77"/>
    <row r="684" ht="15.75" customHeight="1" s="77"/>
    <row r="685" ht="15.75" customHeight="1" s="77"/>
    <row r="686" ht="15.75" customHeight="1" s="77"/>
    <row r="687" ht="15.75" customHeight="1" s="77"/>
    <row r="688" ht="15.75" customHeight="1" s="77"/>
    <row r="689" ht="15.75" customHeight="1" s="77"/>
    <row r="690" ht="15.75" customHeight="1" s="77"/>
    <row r="691" ht="15.75" customHeight="1" s="77"/>
    <row r="692" ht="15.75" customHeight="1" s="77"/>
    <row r="693" ht="15.75" customHeight="1" s="77"/>
    <row r="694" ht="15.75" customHeight="1" s="77"/>
    <row r="695" ht="15.75" customHeight="1" s="77"/>
    <row r="696" ht="15.75" customHeight="1" s="77"/>
    <row r="697" ht="15.75" customHeight="1" s="77"/>
    <row r="698" ht="15.75" customHeight="1" s="77"/>
    <row r="699" ht="15.75" customHeight="1" s="77"/>
    <row r="700" ht="15.75" customHeight="1" s="77"/>
    <row r="701" ht="15.75" customHeight="1" s="77"/>
    <row r="702" ht="15.75" customHeight="1" s="77"/>
    <row r="703" ht="15.75" customHeight="1" s="77"/>
    <row r="704" ht="15.75" customHeight="1" s="77"/>
    <row r="705" ht="15.75" customHeight="1" s="77"/>
    <row r="706" ht="15.75" customHeight="1" s="77"/>
    <row r="707" ht="15.75" customHeight="1" s="77"/>
    <row r="708" ht="15.75" customHeight="1" s="77"/>
    <row r="709" ht="15.75" customHeight="1" s="77"/>
    <row r="710" ht="15.75" customHeight="1" s="77"/>
    <row r="711" ht="15.75" customHeight="1" s="77"/>
    <row r="712" ht="15.75" customHeight="1" s="77"/>
    <row r="713" ht="15.75" customHeight="1" s="77"/>
    <row r="714" ht="15.75" customHeight="1" s="77"/>
    <row r="715" ht="15.75" customHeight="1" s="77"/>
    <row r="716" ht="15.75" customHeight="1" s="77"/>
    <row r="717" ht="15.75" customHeight="1" s="77"/>
    <row r="718" ht="15.75" customHeight="1" s="77"/>
    <row r="719" ht="15.75" customHeight="1" s="77"/>
    <row r="720" ht="15.75" customHeight="1" s="77"/>
    <row r="721" ht="15.75" customHeight="1" s="77"/>
    <row r="722" ht="15.75" customHeight="1" s="77"/>
    <row r="723" ht="15.75" customHeight="1" s="77"/>
    <row r="724" ht="15.75" customHeight="1" s="77"/>
    <row r="725" ht="15.75" customHeight="1" s="77"/>
    <row r="726" ht="15.75" customHeight="1" s="77"/>
    <row r="727" ht="15.75" customHeight="1" s="77"/>
    <row r="728" ht="15.75" customHeight="1" s="77"/>
    <row r="729" ht="15.75" customHeight="1" s="77"/>
    <row r="730" ht="15.75" customHeight="1" s="77"/>
    <row r="731" ht="15.75" customHeight="1" s="77"/>
    <row r="732" ht="15.75" customHeight="1" s="77"/>
    <row r="733" ht="15.75" customHeight="1" s="77"/>
    <row r="734" ht="15.75" customHeight="1" s="77"/>
    <row r="735" ht="15.75" customHeight="1" s="77"/>
    <row r="736" ht="15.75" customHeight="1" s="77"/>
    <row r="737" ht="15.75" customHeight="1" s="77"/>
    <row r="738" ht="15.75" customHeight="1" s="77"/>
    <row r="739" ht="15.75" customHeight="1" s="77"/>
    <row r="740" ht="15.75" customHeight="1" s="77"/>
    <row r="741" ht="15.75" customHeight="1" s="77"/>
    <row r="742" ht="15.75" customHeight="1" s="77"/>
    <row r="743" ht="15.75" customHeight="1" s="77"/>
    <row r="744" ht="15.75" customHeight="1" s="77"/>
    <row r="745" ht="15.75" customHeight="1" s="77"/>
    <row r="746" ht="15.75" customHeight="1" s="77"/>
    <row r="747" ht="15.75" customHeight="1" s="77"/>
    <row r="748" ht="15.75" customHeight="1" s="77"/>
    <row r="749" ht="15.75" customHeight="1" s="77"/>
    <row r="750" ht="15.75" customHeight="1" s="77"/>
    <row r="751" ht="15.75" customHeight="1" s="77"/>
    <row r="752" ht="15.75" customHeight="1" s="77"/>
    <row r="753" ht="15.75" customHeight="1" s="77"/>
    <row r="754" ht="15.75" customHeight="1" s="77"/>
    <row r="755" ht="15.75" customHeight="1" s="77"/>
    <row r="756" ht="15.75" customHeight="1" s="77"/>
    <row r="757" ht="15.75" customHeight="1" s="77"/>
    <row r="758" ht="15.75" customHeight="1" s="77"/>
    <row r="759" ht="15.75" customHeight="1" s="77"/>
    <row r="760" ht="15.75" customHeight="1" s="77"/>
    <row r="761" ht="15.75" customHeight="1" s="77"/>
    <row r="762" ht="15.75" customHeight="1" s="77"/>
    <row r="763" ht="15.75" customHeight="1" s="77"/>
    <row r="764" ht="15.75" customHeight="1" s="77"/>
    <row r="765" ht="15.75" customHeight="1" s="77"/>
    <row r="766" ht="15.75" customHeight="1" s="77"/>
    <row r="767" ht="15.75" customHeight="1" s="77"/>
    <row r="768" ht="15.75" customHeight="1" s="77"/>
    <row r="769" ht="15.75" customHeight="1" s="77"/>
    <row r="770" ht="15.75" customHeight="1" s="77"/>
    <row r="771" ht="15.75" customHeight="1" s="77"/>
    <row r="772" ht="15.75" customHeight="1" s="77"/>
    <row r="773" ht="15.75" customHeight="1" s="77"/>
    <row r="774" ht="15.75" customHeight="1" s="77"/>
    <row r="775" ht="15.75" customHeight="1" s="77"/>
    <row r="776" ht="15.75" customHeight="1" s="77"/>
    <row r="777" ht="15.75" customHeight="1" s="77"/>
    <row r="778" ht="15.75" customHeight="1" s="77"/>
    <row r="779" ht="15.75" customHeight="1" s="77"/>
    <row r="780" ht="15.75" customHeight="1" s="77"/>
    <row r="781" ht="15.75" customHeight="1" s="77"/>
    <row r="782" ht="15.75" customHeight="1" s="77"/>
    <row r="783" ht="15.75" customHeight="1" s="77"/>
    <row r="784" ht="15.75" customHeight="1" s="77"/>
    <row r="785" ht="15.75" customHeight="1" s="77"/>
    <row r="786" ht="15.75" customHeight="1" s="77"/>
    <row r="787" ht="15.75" customHeight="1" s="77"/>
    <row r="788" ht="15.75" customHeight="1" s="77"/>
    <row r="789" ht="15.75" customHeight="1" s="77"/>
    <row r="790" ht="15.75" customHeight="1" s="77"/>
    <row r="791" ht="15.75" customHeight="1" s="77"/>
    <row r="792" ht="15.75" customHeight="1" s="77"/>
    <row r="793" ht="15.75" customHeight="1" s="77"/>
    <row r="794" ht="15.75" customHeight="1" s="77"/>
    <row r="795" ht="15.75" customHeight="1" s="77"/>
    <row r="796" ht="15.75" customHeight="1" s="77"/>
    <row r="797" ht="15.75" customHeight="1" s="77"/>
    <row r="798" ht="15.75" customHeight="1" s="77"/>
    <row r="799" ht="15.75" customHeight="1" s="77"/>
    <row r="800" ht="15.75" customHeight="1" s="77"/>
    <row r="801" ht="15.75" customHeight="1" s="77"/>
    <row r="802" ht="15.75" customHeight="1" s="77"/>
    <row r="803" ht="15.75" customHeight="1" s="77"/>
    <row r="804" ht="15.75" customHeight="1" s="77"/>
    <row r="805" ht="15.75" customHeight="1" s="77"/>
    <row r="806" ht="15.75" customHeight="1" s="77"/>
    <row r="807" ht="15.75" customHeight="1" s="77"/>
    <row r="808" ht="15.75" customHeight="1" s="77"/>
    <row r="809" ht="15.75" customHeight="1" s="77"/>
    <row r="810" ht="15.75" customHeight="1" s="77"/>
    <row r="811" ht="15.75" customHeight="1" s="77"/>
    <row r="812" ht="15.75" customHeight="1" s="77"/>
    <row r="813" ht="15.75" customHeight="1" s="77"/>
    <row r="814" ht="15.75" customHeight="1" s="77"/>
    <row r="815" ht="15.75" customHeight="1" s="77"/>
    <row r="816" ht="15.75" customHeight="1" s="77"/>
    <row r="817" ht="15.75" customHeight="1" s="77"/>
    <row r="818" ht="15.75" customHeight="1" s="77"/>
    <row r="819" ht="15.75" customHeight="1" s="77"/>
    <row r="820" ht="15.75" customHeight="1" s="77"/>
    <row r="821" ht="15.75" customHeight="1" s="77"/>
    <row r="822" ht="15.75" customHeight="1" s="77"/>
    <row r="823" ht="15.75" customHeight="1" s="77"/>
    <row r="824" ht="15.75" customHeight="1" s="77"/>
    <row r="825" ht="15.75" customHeight="1" s="77"/>
    <row r="826" ht="15.75" customHeight="1" s="77"/>
    <row r="827" ht="15.75" customHeight="1" s="77"/>
    <row r="828" ht="15.75" customHeight="1" s="77"/>
    <row r="829" ht="15.75" customHeight="1" s="77"/>
    <row r="830" ht="15.75" customHeight="1" s="77"/>
    <row r="831" ht="15.75" customHeight="1" s="77"/>
    <row r="832" ht="15.75" customHeight="1" s="77"/>
    <row r="833" ht="15.75" customHeight="1" s="77"/>
    <row r="834" ht="15.75" customHeight="1" s="77"/>
    <row r="835" ht="15.75" customHeight="1" s="77"/>
    <row r="836" ht="15.75" customHeight="1" s="77"/>
    <row r="837" ht="15.75" customHeight="1" s="77"/>
    <row r="838" ht="15.75" customHeight="1" s="77"/>
    <row r="839" ht="15.75" customHeight="1" s="77"/>
    <row r="840" ht="15.75" customHeight="1" s="77"/>
    <row r="841" ht="15.75" customHeight="1" s="77"/>
    <row r="842" ht="15.75" customHeight="1" s="77"/>
    <row r="843" ht="15.75" customHeight="1" s="77"/>
    <row r="844" ht="15.75" customHeight="1" s="77"/>
    <row r="845" ht="15.75" customHeight="1" s="77"/>
    <row r="846" ht="15.75" customHeight="1" s="77"/>
    <row r="847" ht="15.75" customHeight="1" s="77"/>
    <row r="848" ht="15.75" customHeight="1" s="77"/>
    <row r="849" ht="15.75" customHeight="1" s="77"/>
    <row r="850" ht="15.75" customHeight="1" s="77"/>
    <row r="851" ht="15.75" customHeight="1" s="77"/>
    <row r="852" ht="15.75" customHeight="1" s="77"/>
    <row r="853" ht="15.75" customHeight="1" s="77"/>
    <row r="854" ht="15.75" customHeight="1" s="77"/>
    <row r="855" ht="15.75" customHeight="1" s="77"/>
    <row r="856" ht="15.75" customHeight="1" s="77"/>
    <row r="857" ht="15.75" customHeight="1" s="77"/>
    <row r="858" ht="15.75" customHeight="1" s="77"/>
    <row r="859" ht="15.75" customHeight="1" s="77"/>
    <row r="860" ht="15.75" customHeight="1" s="77"/>
    <row r="861" ht="15.75" customHeight="1" s="77"/>
    <row r="862" ht="15.75" customHeight="1" s="77"/>
    <row r="863" ht="15.75" customHeight="1" s="77"/>
    <row r="864" ht="15.75" customHeight="1" s="77"/>
    <row r="865" ht="15.75" customHeight="1" s="77"/>
    <row r="866" ht="15.75" customHeight="1" s="77"/>
    <row r="867" ht="15.75" customHeight="1" s="77"/>
    <row r="868" ht="15.75" customHeight="1" s="77"/>
    <row r="869" ht="15.75" customHeight="1" s="77"/>
    <row r="870" ht="15.75" customHeight="1" s="77"/>
    <row r="871" ht="15.75" customHeight="1" s="77"/>
    <row r="872" ht="15.75" customHeight="1" s="77"/>
    <row r="873" ht="15.75" customHeight="1" s="77"/>
    <row r="874" ht="15.75" customHeight="1" s="77"/>
    <row r="875" ht="15.75" customHeight="1" s="77"/>
    <row r="876" ht="15.75" customHeight="1" s="77"/>
    <row r="877" ht="15.75" customHeight="1" s="77"/>
    <row r="878" ht="15.75" customHeight="1" s="77"/>
    <row r="879" ht="15.75" customHeight="1" s="77"/>
    <row r="880" ht="15.75" customHeight="1" s="77"/>
    <row r="881" ht="15.75" customHeight="1" s="77"/>
    <row r="882" ht="15.75" customHeight="1" s="77"/>
    <row r="883" ht="15.75" customHeight="1" s="77"/>
    <row r="884" ht="15.75" customHeight="1" s="77"/>
    <row r="885" ht="15.75" customHeight="1" s="77"/>
    <row r="886" ht="15.75" customHeight="1" s="77"/>
    <row r="887" ht="15.75" customHeight="1" s="77"/>
    <row r="888" ht="15.75" customHeight="1" s="77"/>
    <row r="889" ht="15.75" customHeight="1" s="77"/>
    <row r="890" ht="15.75" customHeight="1" s="77"/>
    <row r="891" ht="15.75" customHeight="1" s="77"/>
    <row r="892" ht="15.75" customHeight="1" s="77"/>
    <row r="893" ht="15.75" customHeight="1" s="77"/>
    <row r="894" ht="15.75" customHeight="1" s="77"/>
    <row r="895" ht="15.75" customHeight="1" s="77"/>
    <row r="896" ht="15.75" customHeight="1" s="77"/>
    <row r="897" ht="15.75" customHeight="1" s="77"/>
    <row r="898" ht="15.75" customHeight="1" s="77"/>
    <row r="899" ht="15.75" customHeight="1" s="77"/>
    <row r="900" ht="15.75" customHeight="1" s="77"/>
    <row r="901" ht="15.75" customHeight="1" s="77"/>
    <row r="902" ht="15.75" customHeight="1" s="77"/>
    <row r="903" ht="15.75" customHeight="1" s="77"/>
    <row r="904" ht="15.75" customHeight="1" s="77"/>
    <row r="905" ht="15.75" customHeight="1" s="77"/>
    <row r="906" ht="15.75" customHeight="1" s="77"/>
    <row r="907" ht="15.75" customHeight="1" s="77"/>
    <row r="908" ht="15.75" customHeight="1" s="77"/>
    <row r="909" ht="15.75" customHeight="1" s="77"/>
    <row r="910" ht="15.75" customHeight="1" s="77"/>
    <row r="911" ht="15.75" customHeight="1" s="77"/>
    <row r="912" ht="15.75" customHeight="1" s="77"/>
    <row r="913" ht="15.75" customHeight="1" s="77"/>
    <row r="914" ht="15.75" customHeight="1" s="77"/>
    <row r="915" ht="15.75" customHeight="1" s="77"/>
    <row r="916" ht="15.75" customHeight="1" s="77"/>
    <row r="917" ht="15.75" customHeight="1" s="77"/>
    <row r="918" ht="15.75" customHeight="1" s="77"/>
    <row r="919" ht="15.75" customHeight="1" s="77"/>
    <row r="920" ht="15.75" customHeight="1" s="77"/>
    <row r="921" ht="15.75" customHeight="1" s="77"/>
    <row r="922" ht="15.75" customHeight="1" s="77"/>
    <row r="923" ht="15.75" customHeight="1" s="77"/>
    <row r="924" ht="15.75" customHeight="1" s="77"/>
    <row r="925" ht="15.75" customHeight="1" s="77"/>
    <row r="926" ht="15.75" customHeight="1" s="77"/>
    <row r="927" ht="15.75" customHeight="1" s="77"/>
    <row r="928" ht="15.75" customHeight="1" s="77"/>
    <row r="929" ht="15.75" customHeight="1" s="77"/>
    <row r="930" ht="15.75" customHeight="1" s="77"/>
    <row r="931" ht="15.75" customHeight="1" s="77"/>
    <row r="932" ht="15.75" customHeight="1" s="77"/>
    <row r="933" ht="15.75" customHeight="1" s="77"/>
    <row r="934" ht="15.75" customHeight="1" s="77"/>
    <row r="935" ht="15.75" customHeight="1" s="77"/>
    <row r="936" ht="15.75" customHeight="1" s="77"/>
    <row r="937" ht="15.75" customHeight="1" s="77"/>
    <row r="938" ht="15.75" customHeight="1" s="77"/>
    <row r="939" ht="15.75" customHeight="1" s="77"/>
    <row r="940" ht="15.75" customHeight="1" s="77"/>
    <row r="941" ht="15.75" customHeight="1" s="77"/>
    <row r="942" ht="15.75" customHeight="1" s="77"/>
    <row r="943" ht="15.75" customHeight="1" s="77"/>
    <row r="944" ht="15.75" customHeight="1" s="77"/>
    <row r="945" ht="15.75" customHeight="1" s="77"/>
    <row r="946" ht="15.75" customHeight="1" s="77"/>
    <row r="947" ht="15.75" customHeight="1" s="77"/>
    <row r="948" ht="15.75" customHeight="1" s="77"/>
    <row r="949" ht="15.75" customHeight="1" s="77"/>
    <row r="950" ht="15.75" customHeight="1" s="77"/>
    <row r="951" ht="15.75" customHeight="1" s="77"/>
    <row r="952" ht="15.75" customHeight="1" s="77"/>
    <row r="953" ht="15.75" customHeight="1" s="77"/>
    <row r="954" ht="15.75" customHeight="1" s="77"/>
    <row r="955" ht="15.75" customHeight="1" s="77"/>
    <row r="956" ht="15.75" customHeight="1" s="77"/>
    <row r="957" ht="15.75" customHeight="1" s="77"/>
    <row r="958" ht="15.75" customHeight="1" s="77"/>
    <row r="959" ht="15.75" customHeight="1" s="77"/>
    <row r="960" ht="15.75" customHeight="1" s="77"/>
    <row r="961" ht="15.75" customHeight="1" s="77"/>
    <row r="962" ht="15.75" customHeight="1" s="77"/>
    <row r="963" ht="15.75" customHeight="1" s="77"/>
    <row r="964" ht="15.75" customHeight="1" s="77"/>
    <row r="965" ht="15.75" customHeight="1" s="77"/>
    <row r="966" ht="15.75" customHeight="1" s="77"/>
    <row r="967" ht="15.75" customHeight="1" s="77"/>
    <row r="968" ht="15.75" customHeight="1" s="77"/>
    <row r="969" ht="15.75" customHeight="1" s="77"/>
    <row r="970" ht="15.75" customHeight="1" s="77"/>
    <row r="971" ht="15.75" customHeight="1" s="77"/>
    <row r="972" ht="15.75" customHeight="1" s="77"/>
    <row r="973" ht="15.75" customHeight="1" s="77"/>
    <row r="974" ht="15.75" customHeight="1" s="77"/>
    <row r="975" ht="15.75" customHeight="1" s="77"/>
    <row r="976" ht="15.75" customHeight="1" s="77"/>
    <row r="977" ht="15.75" customHeight="1" s="77"/>
    <row r="978" ht="15.75" customHeight="1" s="77"/>
    <row r="979" ht="15.75" customHeight="1" s="77"/>
    <row r="980" ht="15.75" customHeight="1" s="77"/>
    <row r="981" ht="15.75" customHeight="1" s="77"/>
    <row r="982" ht="15.75" customHeight="1" s="77"/>
    <row r="983" ht="15.75" customHeight="1" s="77"/>
    <row r="984" ht="15.75" customHeight="1" s="77"/>
    <row r="985" ht="15.75" customHeight="1" s="77"/>
    <row r="986" ht="15.75" customHeight="1" s="77"/>
    <row r="987" ht="15.75" customHeight="1" s="77"/>
    <row r="988" ht="15.75" customHeight="1" s="77"/>
    <row r="989" ht="15.75" customHeight="1" s="77"/>
    <row r="990" ht="15.75" customHeight="1" s="77"/>
    <row r="991" ht="15.75" customHeight="1" s="77"/>
    <row r="992" ht="15.75" customHeight="1" s="77"/>
    <row r="993" ht="15.75" customHeight="1" s="77"/>
    <row r="994" ht="15.75" customHeight="1" s="77"/>
    <row r="995" ht="15.75" customHeight="1" s="77"/>
    <row r="996" ht="15.75" customHeight="1" s="77"/>
    <row r="997" ht="15.75" customHeight="1" s="77"/>
    <row r="998" ht="15.75" customHeight="1" s="77"/>
    <row r="999" ht="15.75" customHeight="1" s="77"/>
    <row r="1000" ht="15.75" customHeight="1" s="77"/>
  </sheetData>
  <mergeCells count="4">
    <mergeCell ref="A7:A33"/>
    <mergeCell ref="A35:A37"/>
    <mergeCell ref="A2:A6"/>
    <mergeCell ref="A38:A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E54"/>
  <sheetViews>
    <sheetView workbookViewId="0">
      <selection activeCell="A1" sqref="A1"/>
    </sheetView>
  </sheetViews>
  <sheetFormatPr baseColWidth="10" defaultColWidth="12.5703125" defaultRowHeight="15" customHeight="1"/>
  <cols>
    <col width="12.5703125" customWidth="1" style="77" min="1" max="3"/>
    <col width="42" customWidth="1" style="77" min="4" max="4"/>
    <col width="15.5703125" customWidth="1" style="77" min="5" max="5"/>
    <col width="12.5703125" customWidth="1" style="77" min="6" max="6"/>
  </cols>
  <sheetData>
    <row r="1" ht="15.75" customHeight="1" s="77">
      <c r="A1" s="21" t="n"/>
      <c r="B1" s="138" t="n"/>
      <c r="C1" s="139" t="n"/>
      <c r="D1" s="35" t="inlineStr">
        <is>
          <t>Tâches</t>
        </is>
      </c>
      <c r="E1" s="38" t="inlineStr">
        <is>
          <t>Estimation en jours</t>
        </is>
      </c>
    </row>
    <row r="2" ht="15.75" customHeight="1" s="77">
      <c r="A2" s="28" t="inlineStr">
        <is>
          <t>Préparation</t>
        </is>
      </c>
      <c r="B2" s="140" t="n"/>
      <c r="C2" s="141" t="n"/>
      <c r="D2" s="40" t="inlineStr">
        <is>
          <t>Prise en main du projet</t>
        </is>
      </c>
      <c r="E2" s="41" t="n">
        <v>1</v>
      </c>
    </row>
    <row r="3" ht="15.75" customHeight="1" s="77">
      <c r="A3" s="142" t="n"/>
      <c r="C3" s="143" t="n"/>
      <c r="D3" s="40" t="inlineStr">
        <is>
          <t>Apprentissage Nouvelles technologies</t>
        </is>
      </c>
      <c r="E3" s="41" t="n">
        <v>5</v>
      </c>
    </row>
    <row r="4" ht="15.75" customHeight="1" s="77">
      <c r="A4" s="142" t="n"/>
      <c r="C4" s="143" t="n"/>
      <c r="D4" s="40" t="inlineStr">
        <is>
          <t>installation des environnements</t>
        </is>
      </c>
      <c r="E4" s="41" t="n">
        <v>1</v>
      </c>
    </row>
    <row r="5" ht="15.75" customHeight="1" s="77">
      <c r="A5" s="144" t="n"/>
      <c r="B5" s="145" t="n"/>
      <c r="C5" s="146" t="n"/>
      <c r="D5" s="40" t="inlineStr">
        <is>
          <t>Analyse et conception</t>
        </is>
      </c>
      <c r="E5" s="41" t="n">
        <v>7</v>
      </c>
    </row>
    <row r="6" ht="15.75" customHeight="1" s="77">
      <c r="A6" s="164" t="inlineStr">
        <is>
          <t>Projet</t>
        </is>
      </c>
      <c r="B6" s="140" t="n"/>
      <c r="C6" s="141" t="n"/>
      <c r="D6" s="42" t="inlineStr">
        <is>
          <t>Création vues form et list des modèles de bases</t>
        </is>
      </c>
      <c r="E6" s="43" t="n"/>
    </row>
    <row r="7" ht="15.75" customHeight="1" s="77">
      <c r="A7" s="142" t="n"/>
      <c r="C7" s="143" t="n"/>
      <c r="D7" s="29" t="inlineStr">
        <is>
          <t>chambres, hotel, service, activité</t>
        </is>
      </c>
      <c r="E7" s="41" t="n">
        <v>1</v>
      </c>
    </row>
    <row r="8" ht="15.75" customHeight="1" s="77">
      <c r="A8" s="142" t="n"/>
      <c r="C8" s="143" t="n"/>
      <c r="D8" s="30" t="inlineStr">
        <is>
          <t>Type des chambres,  service, activité</t>
        </is>
      </c>
      <c r="E8" s="41" t="n">
        <v>1</v>
      </c>
    </row>
    <row r="9" ht="15.75" customHeight="1" s="77">
      <c r="A9" s="142" t="n"/>
      <c r="C9" s="143" t="n"/>
      <c r="D9" s="42" t="inlineStr">
        <is>
          <t>Gestion des Réservation</t>
        </is>
      </c>
      <c r="E9" s="43" t="n"/>
    </row>
    <row r="10" ht="15.75" customHeight="1" s="77">
      <c r="A10" s="142" t="n"/>
      <c r="C10" s="143" t="n"/>
      <c r="D10" s="29" t="inlineStr">
        <is>
          <t xml:space="preserve">Création des réservations clients </t>
        </is>
      </c>
      <c r="E10" s="41" t="n">
        <v>1</v>
      </c>
    </row>
    <row r="11" ht="15.75" customHeight="1" s="77">
      <c r="A11" s="142" t="n"/>
      <c r="C11" s="143" t="n"/>
      <c r="D11" s="29" t="inlineStr">
        <is>
          <t>Annulation et Confirmation des réservations</t>
        </is>
      </c>
      <c r="E11" s="41" t="n">
        <v>0.5</v>
      </c>
    </row>
    <row r="12" ht="15.75" customHeight="1" s="77">
      <c r="A12" s="142" t="n"/>
      <c r="C12" s="143" t="n"/>
      <c r="D12" s="29" t="inlineStr">
        <is>
          <t>Payement anticipé ou en avance du réservation</t>
        </is>
      </c>
      <c r="E12" s="41" t="n">
        <v>0.5</v>
      </c>
    </row>
    <row r="13" ht="15.75" customHeight="1" s="77">
      <c r="A13" s="142" t="n"/>
      <c r="C13" s="143" t="n"/>
      <c r="D13" s="42" t="inlineStr">
        <is>
          <t>Entretien ménagé</t>
        </is>
      </c>
      <c r="E13" s="43" t="n"/>
    </row>
    <row r="14" ht="15.75" customHeight="1" s="77">
      <c r="A14" s="142" t="n"/>
      <c r="C14" s="143" t="n"/>
      <c r="D14" s="46" t="inlineStr">
        <is>
          <t>Création des formulaires de gestion du ménage et planning du ménage</t>
        </is>
      </c>
      <c r="E14" s="41" t="n">
        <v>1</v>
      </c>
    </row>
    <row r="15" ht="15.75" customHeight="1" s="77">
      <c r="A15" s="142" t="n"/>
      <c r="C15" s="143" t="n"/>
      <c r="D15" s="46" t="inlineStr">
        <is>
          <t>Intégration avec la réservation pour les états des chambres (libre/occupée)</t>
        </is>
      </c>
      <c r="E15" s="41" t="n">
        <v>1</v>
      </c>
    </row>
    <row r="16" ht="15.75" customHeight="1" s="77">
      <c r="A16" s="142" t="n"/>
      <c r="C16" s="143" t="n"/>
      <c r="D16" s="42" t="inlineStr">
        <is>
          <t>Folio (compte client pendant son séjour)</t>
        </is>
      </c>
      <c r="E16" s="43" t="n"/>
    </row>
    <row r="17" ht="15.75" customHeight="1" s="77">
      <c r="A17" s="142" t="n"/>
      <c r="C17" s="143" t="n"/>
      <c r="D17" s="46" t="inlineStr">
        <is>
          <t>Intégration avec le module de réservation pour la génération automatique de folios</t>
        </is>
      </c>
      <c r="E17" s="41" t="n">
        <v>0.5</v>
      </c>
    </row>
    <row r="18" ht="15.75" customHeight="1" s="77">
      <c r="A18" s="142" t="n"/>
      <c r="C18" s="143" t="n"/>
      <c r="D18" s="46" t="inlineStr">
        <is>
          <t xml:space="preserve">Gestion des activités du client </t>
        </is>
      </c>
      <c r="E18" s="41" t="n">
        <v>0.5</v>
      </c>
    </row>
    <row r="19" ht="15.75" customHeight="1" s="77">
      <c r="A19" s="142" t="n"/>
      <c r="C19" s="143" t="n"/>
      <c r="D19" s="3" t="inlineStr">
        <is>
          <t>Gestion des services</t>
        </is>
      </c>
      <c r="E19" s="41" t="n">
        <v>0.5</v>
      </c>
    </row>
    <row r="20" ht="15.75" customHeight="1" s="77">
      <c r="A20" s="142" t="n"/>
      <c r="C20" s="143" t="n"/>
      <c r="D20" s="29" t="inlineStr">
        <is>
          <t>Facturation et Payment du Folio</t>
        </is>
      </c>
      <c r="E20" s="41" t="n">
        <v>1</v>
      </c>
    </row>
    <row r="21" ht="15.75" customHeight="1" s="77">
      <c r="A21" s="142" t="n"/>
      <c r="C21" s="143" t="n"/>
      <c r="D21" s="42" t="inlineStr">
        <is>
          <t>Gestion de liste des prix</t>
        </is>
      </c>
      <c r="E21" s="43" t="n"/>
    </row>
    <row r="22" ht="15.75" customHeight="1" s="77">
      <c r="A22" s="142" t="n"/>
      <c r="C22" s="143" t="n"/>
      <c r="D22" s="29" t="inlineStr">
        <is>
          <t>Ajouter une liste des prix pour la réservation</t>
        </is>
      </c>
      <c r="E22" s="41" t="n">
        <v>1</v>
      </c>
    </row>
    <row r="23" ht="15.75" customHeight="1" s="77">
      <c r="A23" s="142" t="n"/>
      <c r="C23" s="143" t="n"/>
      <c r="D23" s="42" t="inlineStr">
        <is>
          <t>Gestion de transport</t>
        </is>
      </c>
      <c r="E23" s="43" t="n"/>
    </row>
    <row r="24" ht="15.75" customHeight="1" s="77">
      <c r="A24" s="142" t="n"/>
      <c r="C24" s="143" t="n"/>
      <c r="D24" s="46" t="inlineStr">
        <is>
          <t>Gérer les transferts des clients vers l'hotel</t>
        </is>
      </c>
      <c r="E24" s="41" t="n">
        <v>2</v>
      </c>
    </row>
    <row r="25" ht="15.75" customHeight="1" s="77">
      <c r="A25" s="142" t="n"/>
      <c r="C25" s="143" t="n"/>
      <c r="D25" s="46" t="inlineStr">
        <is>
          <t>Planning de transport</t>
        </is>
      </c>
      <c r="E25" s="41" t="n">
        <v>2</v>
      </c>
    </row>
    <row r="26" ht="15.75" customHeight="1" s="77">
      <c r="A26" s="142" t="n"/>
      <c r="C26" s="143" t="n"/>
      <c r="D26" s="42" t="inlineStr">
        <is>
          <t>OTA</t>
        </is>
      </c>
      <c r="E26" s="43" t="n"/>
    </row>
    <row r="27" ht="15.75" customHeight="1" s="77">
      <c r="A27" s="142" t="n"/>
      <c r="C27" s="143" t="n"/>
      <c r="D27" s="46" t="inlineStr">
        <is>
          <t>Intégration avec les plateformes de réservation en ligne : Booking</t>
        </is>
      </c>
      <c r="E27" s="41" t="n">
        <v>7</v>
      </c>
    </row>
    <row r="28" ht="15.75" customHeight="1" s="77">
      <c r="A28" s="142" t="n"/>
      <c r="C28" s="143" t="n"/>
      <c r="D28" s="21" t="n"/>
      <c r="E28" s="43" t="n"/>
    </row>
    <row r="29" ht="15.75" customHeight="1" s="77">
      <c r="A29" s="142" t="n"/>
      <c r="C29" s="143" t="n"/>
      <c r="D29" s="42" t="inlineStr">
        <is>
          <t>POS (Point de vente)</t>
        </is>
      </c>
      <c r="E29" s="43" t="n"/>
    </row>
    <row r="30" ht="15.75" customHeight="1" s="77">
      <c r="A30" s="142" t="n"/>
      <c r="C30" s="143" t="n"/>
      <c r="D30" s="46" t="inlineStr">
        <is>
          <t>Mise en place du POS pour la liaison au folio du client</t>
        </is>
      </c>
      <c r="E30" s="41" t="n">
        <v>1</v>
      </c>
    </row>
    <row r="31" ht="15.75" customHeight="1" s="77">
      <c r="A31" s="142" t="n"/>
      <c r="C31" s="143" t="n"/>
      <c r="D31" s="3" t="n"/>
      <c r="E31" s="43" t="n"/>
    </row>
    <row r="32" ht="15.75" customHeight="1" s="77">
      <c r="A32" s="142" t="n"/>
      <c r="C32" s="143" t="n"/>
      <c r="D32" s="49" t="inlineStr">
        <is>
          <t>Dashboard view</t>
        </is>
      </c>
      <c r="E32" s="43" t="n"/>
    </row>
    <row r="33" ht="15.75" customHeight="1" s="77">
      <c r="A33" s="142" t="n"/>
      <c r="C33" s="143" t="n"/>
      <c r="D33" s="46" t="inlineStr">
        <is>
          <t>Création d'un tableau de bord pour visualiser l'activité de l'hôtel</t>
        </is>
      </c>
      <c r="E33" s="41" t="n">
        <v>2</v>
      </c>
    </row>
    <row r="34" ht="15.75" customHeight="1" s="77">
      <c r="A34" s="142" t="n"/>
      <c r="C34" s="143" t="n"/>
      <c r="D34" s="50" t="inlineStr">
        <is>
          <t>Affichage de l'état des chambres (disponibiliité) en temps réels sur dashboard</t>
        </is>
      </c>
      <c r="E34" s="41" t="n">
        <v>2</v>
      </c>
    </row>
    <row r="35" ht="15.75" customHeight="1" s="77">
      <c r="A35" s="142" t="n"/>
      <c r="C35" s="143" t="n"/>
      <c r="D35" s="50" t="inlineStr">
        <is>
          <t xml:space="preserve">Possibilité de d'accéder aux fonctionnalités (comme réservration, housekeeping, ...) depuis le dashboard </t>
        </is>
      </c>
      <c r="E35" s="41" t="n">
        <v>2</v>
      </c>
    </row>
    <row r="36" ht="15.75" customHeight="1" s="77">
      <c r="A36" s="142" t="n"/>
      <c r="C36" s="143" t="n"/>
      <c r="D36" s="49" t="inlineStr">
        <is>
          <t>Statistique</t>
        </is>
      </c>
      <c r="E36" s="43" t="n"/>
    </row>
    <row r="37" ht="15.75" customHeight="1" s="77">
      <c r="A37" s="142" t="n"/>
      <c r="C37" s="143" t="n"/>
      <c r="D37" s="46" t="inlineStr">
        <is>
          <t>Diagramme des revenus par mois par ans</t>
        </is>
      </c>
      <c r="E37" s="41" t="n">
        <v>1</v>
      </c>
    </row>
    <row r="38" ht="15.75" customHeight="1" s="77">
      <c r="A38" s="142" t="n"/>
      <c r="C38" s="143" t="n"/>
      <c r="D38" s="3" t="inlineStr">
        <is>
          <t>Taux de réservation par type de chambre et diagramme</t>
        </is>
      </c>
      <c r="E38" s="41" t="n">
        <v>1</v>
      </c>
    </row>
    <row r="39" ht="15.75" customHeight="1" s="77">
      <c r="A39" s="142" t="n"/>
      <c r="C39" s="143" t="n"/>
      <c r="D39" s="3" t="inlineStr">
        <is>
          <t>Durée moyenne de séjour et diagramme</t>
        </is>
      </c>
      <c r="E39" s="41" t="n">
        <v>0.5</v>
      </c>
    </row>
    <row r="40" ht="15.75" customHeight="1" s="77">
      <c r="A40" s="142" t="n"/>
      <c r="C40" s="143" t="n"/>
      <c r="D40" s="3" t="inlineStr">
        <is>
          <t>Taux d'occupation, Taux d'annulation et diagramme</t>
        </is>
      </c>
      <c r="E40" s="41" t="n">
        <v>0.75</v>
      </c>
    </row>
    <row r="41" ht="15.75" customHeight="1" s="77">
      <c r="A41" s="142" t="n"/>
      <c r="C41" s="143" t="n"/>
      <c r="D41" s="49" t="inlineStr">
        <is>
          <t>Site Web pour l'application</t>
        </is>
      </c>
      <c r="E41" s="43" t="n"/>
    </row>
    <row r="42" ht="15.75" customHeight="1" s="77">
      <c r="A42" s="142" t="n"/>
      <c r="C42" s="143" t="n"/>
      <c r="D42" s="50" t="inlineStr">
        <is>
          <t>Possibilité de faire une réservation</t>
        </is>
      </c>
      <c r="E42" s="41" t="n">
        <v>2</v>
      </c>
    </row>
    <row r="43" ht="15.75" customHeight="1" s="77">
      <c r="A43" s="142" t="n"/>
      <c r="C43" s="143" t="n"/>
      <c r="D43" s="50" t="inlineStr">
        <is>
          <t>Consulter les comptes clients en temps réels</t>
        </is>
      </c>
      <c r="E43" s="41" t="n">
        <v>2</v>
      </c>
    </row>
    <row r="44" ht="15.75" customHeight="1" s="77">
      <c r="A44" s="142" t="n"/>
      <c r="C44" s="143" t="n"/>
      <c r="D44" s="50" t="inlineStr">
        <is>
          <t>Demande de confirmation du Folio</t>
        </is>
      </c>
      <c r="E44" s="41" t="n">
        <v>1</v>
      </c>
    </row>
    <row r="45" ht="15.75" customHeight="1" s="77">
      <c r="A45" s="142" t="n"/>
      <c r="C45" s="143" t="n"/>
      <c r="D45" s="21" t="n"/>
      <c r="E45" s="43" t="n"/>
    </row>
    <row r="46" ht="15.75" customHeight="1" s="77">
      <c r="A46" s="142" t="n"/>
      <c r="C46" s="143" t="n"/>
      <c r="D46" s="49" t="inlineStr">
        <is>
          <t>Prévision hotelière (Prévision d'occupation des mois à venir)</t>
        </is>
      </c>
      <c r="E46" s="43" t="n"/>
    </row>
    <row r="47" ht="15.75" customHeight="1" s="77">
      <c r="A47" s="142" t="n"/>
      <c r="C47" s="143" t="n"/>
      <c r="D47" s="50" t="inlineStr">
        <is>
          <t>Mis en place des variables de predictions</t>
        </is>
      </c>
      <c r="E47" s="41" t="n">
        <v>1</v>
      </c>
    </row>
    <row r="48" ht="15.75" customHeight="1" s="77">
      <c r="A48" s="142" t="n"/>
      <c r="C48" s="143" t="n"/>
      <c r="D48" s="50" t="inlineStr">
        <is>
          <t xml:space="preserve">Creation de modeles </t>
        </is>
      </c>
      <c r="E48" s="41" t="n">
        <v>7</v>
      </c>
    </row>
    <row r="49" ht="15.75" customHeight="1" s="77">
      <c r="A49" s="142" t="n"/>
      <c r="C49" s="143" t="n"/>
      <c r="D49" s="21" t="n"/>
      <c r="E49" s="52" t="n"/>
    </row>
    <row r="50" ht="15.75" customHeight="1" s="77">
      <c r="A50" s="144" t="n"/>
      <c r="B50" s="145" t="n"/>
      <c r="C50" s="146" t="n"/>
      <c r="D50" s="53" t="inlineStr">
        <is>
          <t>SUBTOTAL du projet</t>
        </is>
      </c>
      <c r="E50" s="54">
        <f>SUM(E7:E49)</f>
        <v/>
      </c>
    </row>
    <row r="51" ht="15.75" customHeight="1" s="77">
      <c r="A51" s="28" t="inlineStr">
        <is>
          <t>Tests</t>
        </is>
      </c>
      <c r="B51" s="138" t="n"/>
      <c r="C51" s="139" t="n"/>
      <c r="D51" s="29" t="inlineStr">
        <is>
          <t>Tests et corrections</t>
        </is>
      </c>
      <c r="E51" s="56" t="n">
        <v>5</v>
      </c>
    </row>
    <row r="52" ht="15.75" customHeight="1" s="77">
      <c r="A52" s="28" t="inlineStr">
        <is>
          <t>Déploiement</t>
        </is>
      </c>
      <c r="B52" s="138" t="n"/>
      <c r="C52" s="139" t="n"/>
      <c r="D52" s="29" t="inlineStr">
        <is>
          <t>Déploiement local et cloud</t>
        </is>
      </c>
      <c r="E52" s="56" t="n">
        <v>2</v>
      </c>
    </row>
    <row r="53" ht="15.75" customHeight="1" s="77">
      <c r="A53" s="28" t="inlineStr">
        <is>
          <t>Assistance</t>
        </is>
      </c>
      <c r="B53" s="138" t="n"/>
      <c r="C53" s="139" t="n"/>
      <c r="D53" s="29" t="inlineStr">
        <is>
          <t>Formation utilisateur</t>
        </is>
      </c>
      <c r="E53" s="56" t="n">
        <v>2</v>
      </c>
    </row>
    <row r="54" ht="15.75" customHeight="1" s="77">
      <c r="A54" s="3" t="n"/>
      <c r="B54" s="3" t="n"/>
      <c r="C54" s="3" t="n"/>
      <c r="D54" s="59" t="inlineStr">
        <is>
          <t>TOTAL</t>
        </is>
      </c>
      <c r="E54" s="61">
        <f>E50+SUM(E51:E53)+SUM(E2:E5)</f>
        <v/>
      </c>
    </row>
    <row r="55" ht="15.75" customHeight="1" s="77"/>
    <row r="56" ht="15.75" customHeight="1" s="77"/>
    <row r="57" ht="15.75" customHeight="1" s="77"/>
    <row r="58" ht="15.75" customHeight="1" s="77"/>
    <row r="59" ht="15.75" customHeight="1" s="77"/>
    <row r="60" ht="15.75" customHeight="1" s="77"/>
    <row r="61" ht="15.75" customHeight="1" s="77"/>
    <row r="62" ht="15.75" customHeight="1" s="77"/>
    <row r="63" ht="15.75" customHeight="1" s="77"/>
    <row r="64" ht="15.75" customHeight="1" s="77"/>
    <row r="65" ht="15.75" customHeight="1" s="77"/>
    <row r="66" ht="15.75" customHeight="1" s="77"/>
    <row r="67" ht="15.75" customHeight="1" s="77"/>
    <row r="68" ht="15.75" customHeight="1" s="77"/>
    <row r="69" ht="15.75" customHeight="1" s="77"/>
    <row r="70" ht="15.75" customHeight="1" s="77"/>
    <row r="71" ht="15.75" customHeight="1" s="77"/>
    <row r="72" ht="15.75" customHeight="1" s="77"/>
    <row r="73" ht="15.75" customHeight="1" s="77"/>
    <row r="74" ht="15.75" customHeight="1" s="77"/>
    <row r="75" ht="15.75" customHeight="1" s="77"/>
    <row r="76" ht="15.75" customHeight="1" s="77"/>
    <row r="77" ht="15.75" customHeight="1" s="77"/>
    <row r="78" ht="15.75" customHeight="1" s="77"/>
    <row r="79" ht="15.75" customHeight="1" s="77"/>
    <row r="80" ht="15.75" customHeight="1" s="77"/>
    <row r="81" ht="15.75" customHeight="1" s="77"/>
    <row r="82" ht="15.75" customHeight="1" s="77"/>
    <row r="83" ht="15.75" customHeight="1" s="77"/>
    <row r="84" ht="15.75" customHeight="1" s="77"/>
    <row r="85" ht="15.75" customHeight="1" s="77"/>
    <row r="86" ht="15.75" customHeight="1" s="77"/>
    <row r="87" ht="15.75" customHeight="1" s="77"/>
    <row r="88" ht="15.75" customHeight="1" s="77"/>
    <row r="89" ht="15.75" customHeight="1" s="77"/>
    <row r="90" ht="15.75" customHeight="1" s="77"/>
    <row r="91" ht="15.75" customHeight="1" s="77"/>
    <row r="92" ht="15.75" customHeight="1" s="77"/>
    <row r="93" ht="15.75" customHeight="1" s="77"/>
    <row r="94" ht="15.75" customHeight="1" s="77"/>
    <row r="95" ht="15.75" customHeight="1" s="77"/>
    <row r="96" ht="15.75" customHeight="1" s="77"/>
    <row r="97" ht="15.75" customHeight="1" s="77"/>
    <row r="98" ht="15.75" customHeight="1" s="77"/>
    <row r="99" ht="15.75" customHeight="1" s="77"/>
    <row r="100" ht="15.75" customHeight="1" s="77"/>
    <row r="101" ht="15.75" customHeight="1" s="77"/>
    <row r="102" ht="15.75" customHeight="1" s="77"/>
    <row r="103" ht="15.75" customHeight="1" s="77"/>
    <row r="104" ht="15.75" customHeight="1" s="77"/>
    <row r="105" ht="15.75" customHeight="1" s="77"/>
    <row r="106" ht="15.75" customHeight="1" s="77"/>
    <row r="107" ht="15.75" customHeight="1" s="77"/>
    <row r="108" ht="15.75" customHeight="1" s="77"/>
    <row r="109" ht="15.75" customHeight="1" s="77"/>
    <row r="110" ht="15.75" customHeight="1" s="77"/>
    <row r="111" ht="15.75" customHeight="1" s="77"/>
    <row r="112" ht="15.75" customHeight="1" s="77"/>
    <row r="113" ht="15.75" customHeight="1" s="77"/>
    <row r="114" ht="15.75" customHeight="1" s="77"/>
    <row r="115" ht="15.75" customHeight="1" s="77"/>
    <row r="116" ht="15.75" customHeight="1" s="77"/>
    <row r="117" ht="15.75" customHeight="1" s="77"/>
    <row r="118" ht="15.75" customHeight="1" s="77"/>
    <row r="119" ht="15.75" customHeight="1" s="77"/>
    <row r="120" ht="15.75" customHeight="1" s="77"/>
    <row r="121" ht="15.75" customHeight="1" s="77"/>
    <row r="122" ht="15.75" customHeight="1" s="77"/>
    <row r="123" ht="15.75" customHeight="1" s="77"/>
    <row r="124" ht="15.75" customHeight="1" s="77"/>
    <row r="125" ht="15.75" customHeight="1" s="77"/>
    <row r="126" ht="15.75" customHeight="1" s="77"/>
    <row r="127" ht="15.75" customHeight="1" s="77"/>
    <row r="128" ht="15.75" customHeight="1" s="77"/>
    <row r="129" ht="15.75" customHeight="1" s="77"/>
    <row r="130" ht="15.75" customHeight="1" s="77"/>
    <row r="131" ht="15.75" customHeight="1" s="77"/>
    <row r="132" ht="15.75" customHeight="1" s="77"/>
    <row r="133" ht="15.75" customHeight="1" s="77"/>
    <row r="134" ht="15.75" customHeight="1" s="77"/>
    <row r="135" ht="15.75" customHeight="1" s="77"/>
    <row r="136" ht="15.75" customHeight="1" s="77"/>
    <row r="137" ht="15.75" customHeight="1" s="77"/>
    <row r="138" ht="15.75" customHeight="1" s="77"/>
    <row r="139" ht="15.75" customHeight="1" s="77"/>
    <row r="140" ht="15.75" customHeight="1" s="77"/>
    <row r="141" ht="15.75" customHeight="1" s="77"/>
    <row r="142" ht="15.75" customHeight="1" s="77"/>
    <row r="143" ht="15.75" customHeight="1" s="77"/>
    <row r="144" ht="15.75" customHeight="1" s="77"/>
    <row r="145" ht="15.75" customHeight="1" s="77"/>
    <row r="146" ht="15.75" customHeight="1" s="77"/>
    <row r="147" ht="15.75" customHeight="1" s="77"/>
    <row r="148" ht="15.75" customHeight="1" s="77"/>
    <row r="149" ht="15.75" customHeight="1" s="77"/>
    <row r="150" ht="15.75" customHeight="1" s="77"/>
    <row r="151" ht="15.75" customHeight="1" s="77"/>
    <row r="152" ht="15.75" customHeight="1" s="77"/>
    <row r="153" ht="15.75" customHeight="1" s="77"/>
    <row r="154" ht="15.75" customHeight="1" s="77"/>
    <row r="155" ht="15.75" customHeight="1" s="77"/>
    <row r="156" ht="15.75" customHeight="1" s="77"/>
    <row r="157" ht="15.75" customHeight="1" s="77"/>
    <row r="158" ht="15.75" customHeight="1" s="77"/>
    <row r="159" ht="15.75" customHeight="1" s="77"/>
    <row r="160" ht="15.75" customHeight="1" s="77"/>
    <row r="161" ht="15.75" customHeight="1" s="77"/>
    <row r="162" ht="15.75" customHeight="1" s="77"/>
    <row r="163" ht="15.75" customHeight="1" s="77"/>
    <row r="164" ht="15.75" customHeight="1" s="77"/>
    <row r="165" ht="15.75" customHeight="1" s="77"/>
    <row r="166" ht="15.75" customHeight="1" s="77"/>
    <row r="167" ht="15.75" customHeight="1" s="77"/>
    <row r="168" ht="15.75" customHeight="1" s="77"/>
    <row r="169" ht="15.75" customHeight="1" s="77"/>
    <row r="170" ht="15.75" customHeight="1" s="77"/>
    <row r="171" ht="15.75" customHeight="1" s="77"/>
    <row r="172" ht="15.75" customHeight="1" s="77"/>
    <row r="173" ht="15.75" customHeight="1" s="77"/>
    <row r="174" ht="15.75" customHeight="1" s="77"/>
    <row r="175" ht="15.75" customHeight="1" s="77"/>
    <row r="176" ht="15.75" customHeight="1" s="77"/>
    <row r="177" ht="15.75" customHeight="1" s="77"/>
    <row r="178" ht="15.75" customHeight="1" s="77"/>
    <row r="179" ht="15.75" customHeight="1" s="77"/>
    <row r="180" ht="15.75" customHeight="1" s="77"/>
    <row r="181" ht="15.75" customHeight="1" s="77"/>
    <row r="182" ht="15.75" customHeight="1" s="77"/>
    <row r="183" ht="15.75" customHeight="1" s="77"/>
    <row r="184" ht="15.75" customHeight="1" s="77"/>
    <row r="185" ht="15.75" customHeight="1" s="77"/>
    <row r="186" ht="15.75" customHeight="1" s="77"/>
    <row r="187" ht="15.75" customHeight="1" s="77"/>
    <row r="188" ht="15.75" customHeight="1" s="77"/>
    <row r="189" ht="15.75" customHeight="1" s="77"/>
    <row r="190" ht="15.75" customHeight="1" s="77"/>
    <row r="191" ht="15.75" customHeight="1" s="77"/>
    <row r="192" ht="15.75" customHeight="1" s="77"/>
    <row r="193" ht="15.75" customHeight="1" s="77"/>
    <row r="194" ht="15.75" customHeight="1" s="77"/>
    <row r="195" ht="15.75" customHeight="1" s="77"/>
    <row r="196" ht="15.75" customHeight="1" s="77"/>
    <row r="197" ht="15.75" customHeight="1" s="77"/>
    <row r="198" ht="15.75" customHeight="1" s="77"/>
    <row r="199" ht="15.75" customHeight="1" s="77"/>
    <row r="200" ht="15.75" customHeight="1" s="77"/>
    <row r="201" ht="15.75" customHeight="1" s="77"/>
    <row r="202" ht="15.75" customHeight="1" s="77"/>
    <row r="203" ht="15.75" customHeight="1" s="77"/>
    <row r="204" ht="15.75" customHeight="1" s="77"/>
    <row r="205" ht="15.75" customHeight="1" s="77"/>
    <row r="206" ht="15.75" customHeight="1" s="77"/>
    <row r="207" ht="15.75" customHeight="1" s="77"/>
    <row r="208" ht="15.75" customHeight="1" s="77"/>
    <row r="209" ht="15.75" customHeight="1" s="77"/>
    <row r="210" ht="15.75" customHeight="1" s="77"/>
    <row r="211" ht="15.75" customHeight="1" s="77"/>
    <row r="212" ht="15.75" customHeight="1" s="77"/>
    <row r="213" ht="15.75" customHeight="1" s="77"/>
    <row r="214" ht="15.75" customHeight="1" s="77"/>
    <row r="215" ht="15.75" customHeight="1" s="77"/>
    <row r="216" ht="15.75" customHeight="1" s="77"/>
    <row r="217" ht="15.75" customHeight="1" s="77"/>
    <row r="218" ht="15.75" customHeight="1" s="77"/>
    <row r="219" ht="15.75" customHeight="1" s="77"/>
    <row r="220" ht="15.75" customHeight="1" s="77"/>
    <row r="221" ht="15.75" customHeight="1" s="77"/>
    <row r="222" ht="15.75" customHeight="1" s="77"/>
    <row r="223" ht="15.75" customHeight="1" s="77"/>
    <row r="224" ht="15.75" customHeight="1" s="77"/>
    <row r="225" ht="15.75" customHeight="1" s="77"/>
    <row r="226" ht="15.75" customHeight="1" s="77"/>
    <row r="227" ht="15.75" customHeight="1" s="77"/>
    <row r="228" ht="15.75" customHeight="1" s="77"/>
    <row r="229" ht="15.75" customHeight="1" s="77"/>
    <row r="230" ht="15.75" customHeight="1" s="77"/>
    <row r="231" ht="15.75" customHeight="1" s="77"/>
    <row r="232" ht="15.75" customHeight="1" s="77"/>
    <row r="233" ht="15.75" customHeight="1" s="77"/>
    <row r="234" ht="15.75" customHeight="1" s="77"/>
    <row r="235" ht="15.75" customHeight="1" s="77"/>
    <row r="236" ht="15.75" customHeight="1" s="77"/>
    <row r="237" ht="15.75" customHeight="1" s="77"/>
    <row r="238" ht="15.75" customHeight="1" s="77"/>
    <row r="239" ht="15.75" customHeight="1" s="77"/>
    <row r="240" ht="15.75" customHeight="1" s="77"/>
    <row r="241" ht="15.75" customHeight="1" s="77"/>
    <row r="242" ht="15.75" customHeight="1" s="77"/>
    <row r="243" ht="15.75" customHeight="1" s="77"/>
    <row r="244" ht="15.75" customHeight="1" s="77"/>
    <row r="245" ht="15.75" customHeight="1" s="77"/>
    <row r="246" ht="15.75" customHeight="1" s="77"/>
    <row r="247" ht="15.75" customHeight="1" s="77"/>
    <row r="248" ht="15.75" customHeight="1" s="77"/>
    <row r="249" ht="15.75" customHeight="1" s="77"/>
    <row r="250" ht="15.75" customHeight="1" s="77"/>
    <row r="251" ht="15.75" customHeight="1" s="77"/>
    <row r="252" ht="15.75" customHeight="1" s="77"/>
    <row r="253" ht="15.75" customHeight="1" s="77"/>
    <row r="254" ht="15.75" customHeight="1" s="77"/>
    <row r="255" ht="15.75" customHeight="1" s="77"/>
    <row r="256" ht="15.75" customHeight="1" s="77"/>
    <row r="257" ht="15.75" customHeight="1" s="77"/>
    <row r="258" ht="15.75" customHeight="1" s="77"/>
    <row r="259" ht="15.75" customHeight="1" s="77"/>
    <row r="260" ht="15.75" customHeight="1" s="77"/>
    <row r="261" ht="15.75" customHeight="1" s="77"/>
    <row r="262" ht="15.75" customHeight="1" s="77"/>
    <row r="263" ht="15.75" customHeight="1" s="77"/>
    <row r="264" ht="15.75" customHeight="1" s="77"/>
    <row r="265" ht="15.75" customHeight="1" s="77"/>
    <row r="266" ht="15.75" customHeight="1" s="77"/>
    <row r="267" ht="15.75" customHeight="1" s="77"/>
    <row r="268" ht="15.75" customHeight="1" s="77"/>
    <row r="269" ht="15.75" customHeight="1" s="77"/>
    <row r="270" ht="15.75" customHeight="1" s="77"/>
    <row r="271" ht="15.75" customHeight="1" s="77"/>
    <row r="272" ht="15.75" customHeight="1" s="77"/>
    <row r="273" ht="15.75" customHeight="1" s="77"/>
    <row r="274" ht="15.75" customHeight="1" s="77"/>
    <row r="275" ht="15.75" customHeight="1" s="77"/>
    <row r="276" ht="15.75" customHeight="1" s="77"/>
    <row r="277" ht="15.75" customHeight="1" s="77"/>
    <row r="278" ht="15.75" customHeight="1" s="77"/>
    <row r="279" ht="15.75" customHeight="1" s="77"/>
    <row r="280" ht="15.75" customHeight="1" s="77"/>
    <row r="281" ht="15.75" customHeight="1" s="77"/>
    <row r="282" ht="15.75" customHeight="1" s="77"/>
    <row r="283" ht="15.75" customHeight="1" s="77"/>
    <row r="284" ht="15.75" customHeight="1" s="77"/>
    <row r="285" ht="15.75" customHeight="1" s="77"/>
    <row r="286" ht="15.75" customHeight="1" s="77"/>
    <row r="287" ht="15.75" customHeight="1" s="77"/>
    <row r="288" ht="15.75" customHeight="1" s="77"/>
    <row r="289" ht="15.75" customHeight="1" s="77"/>
    <row r="290" ht="15.75" customHeight="1" s="77"/>
    <row r="291" ht="15.75" customHeight="1" s="77"/>
    <row r="292" ht="15.75" customHeight="1" s="77"/>
    <row r="293" ht="15.75" customHeight="1" s="77"/>
    <row r="294" ht="15.75" customHeight="1" s="77"/>
    <row r="295" ht="15.75" customHeight="1" s="77"/>
    <row r="296" ht="15.75" customHeight="1" s="77"/>
    <row r="297" ht="15.75" customHeight="1" s="77"/>
    <row r="298" ht="15.75" customHeight="1" s="77"/>
    <row r="299" ht="15.75" customHeight="1" s="77"/>
    <row r="300" ht="15.75" customHeight="1" s="77"/>
    <row r="301" ht="15.75" customHeight="1" s="77"/>
    <row r="302" ht="15.75" customHeight="1" s="77"/>
    <row r="303" ht="15.75" customHeight="1" s="77"/>
    <row r="304" ht="15.75" customHeight="1" s="77"/>
    <row r="305" ht="15.75" customHeight="1" s="77"/>
    <row r="306" ht="15.75" customHeight="1" s="77"/>
    <row r="307" ht="15.75" customHeight="1" s="77"/>
    <row r="308" ht="15.75" customHeight="1" s="77"/>
    <row r="309" ht="15.75" customHeight="1" s="77"/>
    <row r="310" ht="15.75" customHeight="1" s="77"/>
    <row r="311" ht="15.75" customHeight="1" s="77"/>
    <row r="312" ht="15.75" customHeight="1" s="77"/>
    <row r="313" ht="15.75" customHeight="1" s="77"/>
    <row r="314" ht="15.75" customHeight="1" s="77"/>
    <row r="315" ht="15.75" customHeight="1" s="77"/>
    <row r="316" ht="15.75" customHeight="1" s="77"/>
    <row r="317" ht="15.75" customHeight="1" s="77"/>
    <row r="318" ht="15.75" customHeight="1" s="77"/>
    <row r="319" ht="15.75" customHeight="1" s="77"/>
    <row r="320" ht="15.75" customHeight="1" s="77"/>
    <row r="321" ht="15.75" customHeight="1" s="77"/>
    <row r="322" ht="15.75" customHeight="1" s="77"/>
    <row r="323" ht="15.75" customHeight="1" s="77"/>
    <row r="324" ht="15.75" customHeight="1" s="77"/>
    <row r="325" ht="15.75" customHeight="1" s="77"/>
    <row r="326" ht="15.75" customHeight="1" s="77"/>
    <row r="327" ht="15.75" customHeight="1" s="77"/>
    <row r="328" ht="15.75" customHeight="1" s="77"/>
    <row r="329" ht="15.75" customHeight="1" s="77"/>
    <row r="330" ht="15.75" customHeight="1" s="77"/>
    <row r="331" ht="15.75" customHeight="1" s="77"/>
    <row r="332" ht="15.75" customHeight="1" s="77"/>
    <row r="333" ht="15.75" customHeight="1" s="77"/>
    <row r="334" ht="15.75" customHeight="1" s="77"/>
    <row r="335" ht="15.75" customHeight="1" s="77"/>
    <row r="336" ht="15.75" customHeight="1" s="77"/>
    <row r="337" ht="15.75" customHeight="1" s="77"/>
    <row r="338" ht="15.75" customHeight="1" s="77"/>
    <row r="339" ht="15.75" customHeight="1" s="77"/>
    <row r="340" ht="15.75" customHeight="1" s="77"/>
    <row r="341" ht="15.75" customHeight="1" s="77"/>
    <row r="342" ht="15.75" customHeight="1" s="77"/>
    <row r="343" ht="15.75" customHeight="1" s="77"/>
    <row r="344" ht="15.75" customHeight="1" s="77"/>
    <row r="345" ht="15.75" customHeight="1" s="77"/>
    <row r="346" ht="15.75" customHeight="1" s="77"/>
    <row r="347" ht="15.75" customHeight="1" s="77"/>
    <row r="348" ht="15.75" customHeight="1" s="77"/>
    <row r="349" ht="15.75" customHeight="1" s="77"/>
    <row r="350" ht="15.75" customHeight="1" s="77"/>
    <row r="351" ht="15.75" customHeight="1" s="77"/>
    <row r="352" ht="15.75" customHeight="1" s="77"/>
    <row r="353" ht="15.75" customHeight="1" s="77"/>
    <row r="354" ht="15.75" customHeight="1" s="77"/>
    <row r="355" ht="15.75" customHeight="1" s="77"/>
    <row r="356" ht="15.75" customHeight="1" s="77"/>
    <row r="357" ht="15.75" customHeight="1" s="77"/>
    <row r="358" ht="15.75" customHeight="1" s="77"/>
    <row r="359" ht="15.75" customHeight="1" s="77"/>
    <row r="360" ht="15.75" customHeight="1" s="77"/>
    <row r="361" ht="15.75" customHeight="1" s="77"/>
    <row r="362" ht="15.75" customHeight="1" s="77"/>
    <row r="363" ht="15.75" customHeight="1" s="77"/>
    <row r="364" ht="15.75" customHeight="1" s="77"/>
    <row r="365" ht="15.75" customHeight="1" s="77"/>
    <row r="366" ht="15.75" customHeight="1" s="77"/>
    <row r="367" ht="15.75" customHeight="1" s="77"/>
    <row r="368" ht="15.75" customHeight="1" s="77"/>
    <row r="369" ht="15.75" customHeight="1" s="77"/>
    <row r="370" ht="15.75" customHeight="1" s="77"/>
    <row r="371" ht="15.75" customHeight="1" s="77"/>
    <row r="372" ht="15.75" customHeight="1" s="77"/>
    <row r="373" ht="15.75" customHeight="1" s="77"/>
    <row r="374" ht="15.75" customHeight="1" s="77"/>
    <row r="375" ht="15.75" customHeight="1" s="77"/>
    <row r="376" ht="15.75" customHeight="1" s="77"/>
    <row r="377" ht="15.75" customHeight="1" s="77"/>
    <row r="378" ht="15.75" customHeight="1" s="77"/>
    <row r="379" ht="15.75" customHeight="1" s="77"/>
    <row r="380" ht="15.75" customHeight="1" s="77"/>
    <row r="381" ht="15.75" customHeight="1" s="77"/>
    <row r="382" ht="15.75" customHeight="1" s="77"/>
    <row r="383" ht="15.75" customHeight="1" s="77"/>
    <row r="384" ht="15.75" customHeight="1" s="77"/>
    <row r="385" ht="15.75" customHeight="1" s="77"/>
    <row r="386" ht="15.75" customHeight="1" s="77"/>
    <row r="387" ht="15.75" customHeight="1" s="77"/>
    <row r="388" ht="15.75" customHeight="1" s="77"/>
    <row r="389" ht="15.75" customHeight="1" s="77"/>
    <row r="390" ht="15.75" customHeight="1" s="77"/>
    <row r="391" ht="15.75" customHeight="1" s="77"/>
    <row r="392" ht="15.75" customHeight="1" s="77"/>
    <row r="393" ht="15.75" customHeight="1" s="77"/>
    <row r="394" ht="15.75" customHeight="1" s="77"/>
    <row r="395" ht="15.75" customHeight="1" s="77"/>
    <row r="396" ht="15.75" customHeight="1" s="77"/>
    <row r="397" ht="15.75" customHeight="1" s="77"/>
    <row r="398" ht="15.75" customHeight="1" s="77"/>
    <row r="399" ht="15.75" customHeight="1" s="77"/>
    <row r="400" ht="15.75" customHeight="1" s="77"/>
    <row r="401" ht="15.75" customHeight="1" s="77"/>
    <row r="402" ht="15.75" customHeight="1" s="77"/>
    <row r="403" ht="15.75" customHeight="1" s="77"/>
    <row r="404" ht="15.75" customHeight="1" s="77"/>
    <row r="405" ht="15.75" customHeight="1" s="77"/>
    <row r="406" ht="15.75" customHeight="1" s="77"/>
    <row r="407" ht="15.75" customHeight="1" s="77"/>
    <row r="408" ht="15.75" customHeight="1" s="77"/>
    <row r="409" ht="15.75" customHeight="1" s="77"/>
    <row r="410" ht="15.75" customHeight="1" s="77"/>
    <row r="411" ht="15.75" customHeight="1" s="77"/>
    <row r="412" ht="15.75" customHeight="1" s="77"/>
    <row r="413" ht="15.75" customHeight="1" s="77"/>
    <row r="414" ht="15.75" customHeight="1" s="77"/>
    <row r="415" ht="15.75" customHeight="1" s="77"/>
    <row r="416" ht="15.75" customHeight="1" s="77"/>
    <row r="417" ht="15.75" customHeight="1" s="77"/>
    <row r="418" ht="15.75" customHeight="1" s="77"/>
    <row r="419" ht="15.75" customHeight="1" s="77"/>
    <row r="420" ht="15.75" customHeight="1" s="77"/>
    <row r="421" ht="15.75" customHeight="1" s="77"/>
    <row r="422" ht="15.75" customHeight="1" s="77"/>
    <row r="423" ht="15.75" customHeight="1" s="77"/>
    <row r="424" ht="15.75" customHeight="1" s="77"/>
    <row r="425" ht="15.75" customHeight="1" s="77"/>
    <row r="426" ht="15.75" customHeight="1" s="77"/>
    <row r="427" ht="15.75" customHeight="1" s="77"/>
    <row r="428" ht="15.75" customHeight="1" s="77"/>
    <row r="429" ht="15.75" customHeight="1" s="77"/>
    <row r="430" ht="15.75" customHeight="1" s="77"/>
    <row r="431" ht="15.75" customHeight="1" s="77"/>
    <row r="432" ht="15.75" customHeight="1" s="77"/>
    <row r="433" ht="15.75" customHeight="1" s="77"/>
    <row r="434" ht="15.75" customHeight="1" s="77"/>
    <row r="435" ht="15.75" customHeight="1" s="77"/>
    <row r="436" ht="15.75" customHeight="1" s="77"/>
    <row r="437" ht="15.75" customHeight="1" s="77"/>
    <row r="438" ht="15.75" customHeight="1" s="77"/>
    <row r="439" ht="15.75" customHeight="1" s="77"/>
    <row r="440" ht="15.75" customHeight="1" s="77"/>
    <row r="441" ht="15.75" customHeight="1" s="77"/>
    <row r="442" ht="15.75" customHeight="1" s="77"/>
    <row r="443" ht="15.75" customHeight="1" s="77"/>
    <row r="444" ht="15.75" customHeight="1" s="77"/>
    <row r="445" ht="15.75" customHeight="1" s="77"/>
    <row r="446" ht="15.75" customHeight="1" s="77"/>
    <row r="447" ht="15.75" customHeight="1" s="77"/>
    <row r="448" ht="15.75" customHeight="1" s="77"/>
    <row r="449" ht="15.75" customHeight="1" s="77"/>
    <row r="450" ht="15.75" customHeight="1" s="77"/>
    <row r="451" ht="15.75" customHeight="1" s="77"/>
    <row r="452" ht="15.75" customHeight="1" s="77"/>
    <row r="453" ht="15.75" customHeight="1" s="77"/>
    <row r="454" ht="15.75" customHeight="1" s="77"/>
    <row r="455" ht="15.75" customHeight="1" s="77"/>
    <row r="456" ht="15.75" customHeight="1" s="77"/>
    <row r="457" ht="15.75" customHeight="1" s="77"/>
    <row r="458" ht="15.75" customHeight="1" s="77"/>
    <row r="459" ht="15.75" customHeight="1" s="77"/>
    <row r="460" ht="15.75" customHeight="1" s="77"/>
    <row r="461" ht="15.75" customHeight="1" s="77"/>
    <row r="462" ht="15.75" customHeight="1" s="77"/>
    <row r="463" ht="15.75" customHeight="1" s="77"/>
    <row r="464" ht="15.75" customHeight="1" s="77"/>
    <row r="465" ht="15.75" customHeight="1" s="77"/>
    <row r="466" ht="15.75" customHeight="1" s="77"/>
    <row r="467" ht="15.75" customHeight="1" s="77"/>
    <row r="468" ht="15.75" customHeight="1" s="77"/>
    <row r="469" ht="15.75" customHeight="1" s="77"/>
    <row r="470" ht="15.75" customHeight="1" s="77"/>
    <row r="471" ht="15.75" customHeight="1" s="77"/>
    <row r="472" ht="15.75" customHeight="1" s="77"/>
    <row r="473" ht="15.75" customHeight="1" s="77"/>
    <row r="474" ht="15.75" customHeight="1" s="77"/>
    <row r="475" ht="15.75" customHeight="1" s="77"/>
    <row r="476" ht="15.75" customHeight="1" s="77"/>
    <row r="477" ht="15.75" customHeight="1" s="77"/>
    <row r="478" ht="15.75" customHeight="1" s="77"/>
    <row r="479" ht="15.75" customHeight="1" s="77"/>
    <row r="480" ht="15.75" customHeight="1" s="77"/>
    <row r="481" ht="15.75" customHeight="1" s="77"/>
    <row r="482" ht="15.75" customHeight="1" s="77"/>
    <row r="483" ht="15.75" customHeight="1" s="77"/>
    <row r="484" ht="15.75" customHeight="1" s="77"/>
    <row r="485" ht="15.75" customHeight="1" s="77"/>
    <row r="486" ht="15.75" customHeight="1" s="77"/>
    <row r="487" ht="15.75" customHeight="1" s="77"/>
    <row r="488" ht="15.75" customHeight="1" s="77"/>
    <row r="489" ht="15.75" customHeight="1" s="77"/>
    <row r="490" ht="15.75" customHeight="1" s="77"/>
    <row r="491" ht="15.75" customHeight="1" s="77"/>
    <row r="492" ht="15.75" customHeight="1" s="77"/>
    <row r="493" ht="15.75" customHeight="1" s="77"/>
    <row r="494" ht="15.75" customHeight="1" s="77"/>
    <row r="495" ht="15.75" customHeight="1" s="77"/>
    <row r="496" ht="15.75" customHeight="1" s="77"/>
    <row r="497" ht="15.75" customHeight="1" s="77"/>
    <row r="498" ht="15.75" customHeight="1" s="77"/>
    <row r="499" ht="15.75" customHeight="1" s="77"/>
    <row r="500" ht="15.75" customHeight="1" s="77"/>
    <row r="501" ht="15.75" customHeight="1" s="77"/>
    <row r="502" ht="15.75" customHeight="1" s="77"/>
    <row r="503" ht="15.75" customHeight="1" s="77"/>
    <row r="504" ht="15.75" customHeight="1" s="77"/>
    <row r="505" ht="15.75" customHeight="1" s="77"/>
    <row r="506" ht="15.75" customHeight="1" s="77"/>
    <row r="507" ht="15.75" customHeight="1" s="77"/>
    <row r="508" ht="15.75" customHeight="1" s="77"/>
    <row r="509" ht="15.75" customHeight="1" s="77"/>
    <row r="510" ht="15.75" customHeight="1" s="77"/>
    <row r="511" ht="15.75" customHeight="1" s="77"/>
    <row r="512" ht="15.75" customHeight="1" s="77"/>
    <row r="513" ht="15.75" customHeight="1" s="77"/>
    <row r="514" ht="15.75" customHeight="1" s="77"/>
    <row r="515" ht="15.75" customHeight="1" s="77"/>
    <row r="516" ht="15.75" customHeight="1" s="77"/>
    <row r="517" ht="15.75" customHeight="1" s="77"/>
    <row r="518" ht="15.75" customHeight="1" s="77"/>
    <row r="519" ht="15.75" customHeight="1" s="77"/>
    <row r="520" ht="15.75" customHeight="1" s="77"/>
    <row r="521" ht="15.75" customHeight="1" s="77"/>
    <row r="522" ht="15.75" customHeight="1" s="77"/>
    <row r="523" ht="15.75" customHeight="1" s="77"/>
    <row r="524" ht="15.75" customHeight="1" s="77"/>
    <row r="525" ht="15.75" customHeight="1" s="77"/>
    <row r="526" ht="15.75" customHeight="1" s="77"/>
    <row r="527" ht="15.75" customHeight="1" s="77"/>
    <row r="528" ht="15.75" customHeight="1" s="77"/>
    <row r="529" ht="15.75" customHeight="1" s="77"/>
    <row r="530" ht="15.75" customHeight="1" s="77"/>
    <row r="531" ht="15.75" customHeight="1" s="77"/>
    <row r="532" ht="15.75" customHeight="1" s="77"/>
    <row r="533" ht="15.75" customHeight="1" s="77"/>
    <row r="534" ht="15.75" customHeight="1" s="77"/>
    <row r="535" ht="15.75" customHeight="1" s="77"/>
    <row r="536" ht="15.75" customHeight="1" s="77"/>
    <row r="537" ht="15.75" customHeight="1" s="77"/>
    <row r="538" ht="15.75" customHeight="1" s="77"/>
    <row r="539" ht="15.75" customHeight="1" s="77"/>
    <row r="540" ht="15.75" customHeight="1" s="77"/>
    <row r="541" ht="15.75" customHeight="1" s="77"/>
    <row r="542" ht="15.75" customHeight="1" s="77"/>
    <row r="543" ht="15.75" customHeight="1" s="77"/>
    <row r="544" ht="15.75" customHeight="1" s="77"/>
    <row r="545" ht="15.75" customHeight="1" s="77"/>
    <row r="546" ht="15.75" customHeight="1" s="77"/>
    <row r="547" ht="15.75" customHeight="1" s="77"/>
    <row r="548" ht="15.75" customHeight="1" s="77"/>
    <row r="549" ht="15.75" customHeight="1" s="77"/>
    <row r="550" ht="15.75" customHeight="1" s="77"/>
    <row r="551" ht="15.75" customHeight="1" s="77"/>
    <row r="552" ht="15.75" customHeight="1" s="77"/>
    <row r="553" ht="15.75" customHeight="1" s="77"/>
    <row r="554" ht="15.75" customHeight="1" s="77"/>
    <row r="555" ht="15.75" customHeight="1" s="77"/>
    <row r="556" ht="15.75" customHeight="1" s="77"/>
    <row r="557" ht="15.75" customHeight="1" s="77"/>
    <row r="558" ht="15.75" customHeight="1" s="77"/>
    <row r="559" ht="15.75" customHeight="1" s="77"/>
    <row r="560" ht="15.75" customHeight="1" s="77"/>
    <row r="561" ht="15.75" customHeight="1" s="77"/>
    <row r="562" ht="15.75" customHeight="1" s="77"/>
    <row r="563" ht="15.75" customHeight="1" s="77"/>
    <row r="564" ht="15.75" customHeight="1" s="77"/>
    <row r="565" ht="15.75" customHeight="1" s="77"/>
    <row r="566" ht="15.75" customHeight="1" s="77"/>
    <row r="567" ht="15.75" customHeight="1" s="77"/>
    <row r="568" ht="15.75" customHeight="1" s="77"/>
    <row r="569" ht="15.75" customHeight="1" s="77"/>
    <row r="570" ht="15.75" customHeight="1" s="77"/>
    <row r="571" ht="15.75" customHeight="1" s="77"/>
    <row r="572" ht="15.75" customHeight="1" s="77"/>
    <row r="573" ht="15.75" customHeight="1" s="77"/>
    <row r="574" ht="15.75" customHeight="1" s="77"/>
    <row r="575" ht="15.75" customHeight="1" s="77"/>
    <row r="576" ht="15.75" customHeight="1" s="77"/>
    <row r="577" ht="15.75" customHeight="1" s="77"/>
    <row r="578" ht="15.75" customHeight="1" s="77"/>
    <row r="579" ht="15.75" customHeight="1" s="77"/>
    <row r="580" ht="15.75" customHeight="1" s="77"/>
    <row r="581" ht="15.75" customHeight="1" s="77"/>
    <row r="582" ht="15.75" customHeight="1" s="77"/>
    <row r="583" ht="15.75" customHeight="1" s="77"/>
    <row r="584" ht="15.75" customHeight="1" s="77"/>
    <row r="585" ht="15.75" customHeight="1" s="77"/>
    <row r="586" ht="15.75" customHeight="1" s="77"/>
    <row r="587" ht="15.75" customHeight="1" s="77"/>
    <row r="588" ht="15.75" customHeight="1" s="77"/>
    <row r="589" ht="15.75" customHeight="1" s="77"/>
    <row r="590" ht="15.75" customHeight="1" s="77"/>
    <row r="591" ht="15.75" customHeight="1" s="77"/>
    <row r="592" ht="15.75" customHeight="1" s="77"/>
    <row r="593" ht="15.75" customHeight="1" s="77"/>
    <row r="594" ht="15.75" customHeight="1" s="77"/>
    <row r="595" ht="15.75" customHeight="1" s="77"/>
    <row r="596" ht="15.75" customHeight="1" s="77"/>
    <row r="597" ht="15.75" customHeight="1" s="77"/>
    <row r="598" ht="15.75" customHeight="1" s="77"/>
    <row r="599" ht="15.75" customHeight="1" s="77"/>
    <row r="600" ht="15.75" customHeight="1" s="77"/>
    <row r="601" ht="15.75" customHeight="1" s="77"/>
    <row r="602" ht="15.75" customHeight="1" s="77"/>
    <row r="603" ht="15.75" customHeight="1" s="77"/>
    <row r="604" ht="15.75" customHeight="1" s="77"/>
    <row r="605" ht="15.75" customHeight="1" s="77"/>
    <row r="606" ht="15.75" customHeight="1" s="77"/>
    <row r="607" ht="15.75" customHeight="1" s="77"/>
    <row r="608" ht="15.75" customHeight="1" s="77"/>
    <row r="609" ht="15.75" customHeight="1" s="77"/>
    <row r="610" ht="15.75" customHeight="1" s="77"/>
    <row r="611" ht="15.75" customHeight="1" s="77"/>
    <row r="612" ht="15.75" customHeight="1" s="77"/>
    <row r="613" ht="15.75" customHeight="1" s="77"/>
    <row r="614" ht="15.75" customHeight="1" s="77"/>
    <row r="615" ht="15.75" customHeight="1" s="77"/>
    <row r="616" ht="15.75" customHeight="1" s="77"/>
    <row r="617" ht="15.75" customHeight="1" s="77"/>
    <row r="618" ht="15.75" customHeight="1" s="77"/>
    <row r="619" ht="15.75" customHeight="1" s="77"/>
    <row r="620" ht="15.75" customHeight="1" s="77"/>
    <row r="621" ht="15.75" customHeight="1" s="77"/>
    <row r="622" ht="15.75" customHeight="1" s="77"/>
    <row r="623" ht="15.75" customHeight="1" s="77"/>
    <row r="624" ht="15.75" customHeight="1" s="77"/>
    <row r="625" ht="15.75" customHeight="1" s="77"/>
    <row r="626" ht="15.75" customHeight="1" s="77"/>
    <row r="627" ht="15.75" customHeight="1" s="77"/>
    <row r="628" ht="15.75" customHeight="1" s="77"/>
    <row r="629" ht="15.75" customHeight="1" s="77"/>
    <row r="630" ht="15.75" customHeight="1" s="77"/>
    <row r="631" ht="15.75" customHeight="1" s="77"/>
    <row r="632" ht="15.75" customHeight="1" s="77"/>
    <row r="633" ht="15.75" customHeight="1" s="77"/>
    <row r="634" ht="15.75" customHeight="1" s="77"/>
    <row r="635" ht="15.75" customHeight="1" s="77"/>
    <row r="636" ht="15.75" customHeight="1" s="77"/>
    <row r="637" ht="15.75" customHeight="1" s="77"/>
    <row r="638" ht="15.75" customHeight="1" s="77"/>
    <row r="639" ht="15.75" customHeight="1" s="77"/>
    <row r="640" ht="15.75" customHeight="1" s="77"/>
    <row r="641" ht="15.75" customHeight="1" s="77"/>
    <row r="642" ht="15.75" customHeight="1" s="77"/>
    <row r="643" ht="15.75" customHeight="1" s="77"/>
    <row r="644" ht="15.75" customHeight="1" s="77"/>
    <row r="645" ht="15.75" customHeight="1" s="77"/>
    <row r="646" ht="15.75" customHeight="1" s="77"/>
    <row r="647" ht="15.75" customHeight="1" s="77"/>
    <row r="648" ht="15.75" customHeight="1" s="77"/>
    <row r="649" ht="15.75" customHeight="1" s="77"/>
    <row r="650" ht="15.75" customHeight="1" s="77"/>
    <row r="651" ht="15.75" customHeight="1" s="77"/>
    <row r="652" ht="15.75" customHeight="1" s="77"/>
    <row r="653" ht="15.75" customHeight="1" s="77"/>
    <row r="654" ht="15.75" customHeight="1" s="77"/>
    <row r="655" ht="15.75" customHeight="1" s="77"/>
    <row r="656" ht="15.75" customHeight="1" s="77"/>
    <row r="657" ht="15.75" customHeight="1" s="77"/>
    <row r="658" ht="15.75" customHeight="1" s="77"/>
    <row r="659" ht="15.75" customHeight="1" s="77"/>
    <row r="660" ht="15.75" customHeight="1" s="77"/>
    <row r="661" ht="15.75" customHeight="1" s="77"/>
    <row r="662" ht="15.75" customHeight="1" s="77"/>
    <row r="663" ht="15.75" customHeight="1" s="77"/>
    <row r="664" ht="15.75" customHeight="1" s="77"/>
    <row r="665" ht="15.75" customHeight="1" s="77"/>
    <row r="666" ht="15.75" customHeight="1" s="77"/>
    <row r="667" ht="15.75" customHeight="1" s="77"/>
    <row r="668" ht="15.75" customHeight="1" s="77"/>
    <row r="669" ht="15.75" customHeight="1" s="77"/>
    <row r="670" ht="15.75" customHeight="1" s="77"/>
    <row r="671" ht="15.75" customHeight="1" s="77"/>
    <row r="672" ht="15.75" customHeight="1" s="77"/>
    <row r="673" ht="15.75" customHeight="1" s="77"/>
    <row r="674" ht="15.75" customHeight="1" s="77"/>
    <row r="675" ht="15.75" customHeight="1" s="77"/>
    <row r="676" ht="15.75" customHeight="1" s="77"/>
    <row r="677" ht="15.75" customHeight="1" s="77"/>
    <row r="678" ht="15.75" customHeight="1" s="77"/>
    <row r="679" ht="15.75" customHeight="1" s="77"/>
    <row r="680" ht="15.75" customHeight="1" s="77"/>
    <row r="681" ht="15.75" customHeight="1" s="77"/>
    <row r="682" ht="15.75" customHeight="1" s="77"/>
    <row r="683" ht="15.75" customHeight="1" s="77"/>
    <row r="684" ht="15.75" customHeight="1" s="77"/>
    <row r="685" ht="15.75" customHeight="1" s="77"/>
    <row r="686" ht="15.75" customHeight="1" s="77"/>
    <row r="687" ht="15.75" customHeight="1" s="77"/>
    <row r="688" ht="15.75" customHeight="1" s="77"/>
    <row r="689" ht="15.75" customHeight="1" s="77"/>
    <row r="690" ht="15.75" customHeight="1" s="77"/>
    <row r="691" ht="15.75" customHeight="1" s="77"/>
    <row r="692" ht="15.75" customHeight="1" s="77"/>
    <row r="693" ht="15.75" customHeight="1" s="77"/>
    <row r="694" ht="15.75" customHeight="1" s="77"/>
    <row r="695" ht="15.75" customHeight="1" s="77"/>
    <row r="696" ht="15.75" customHeight="1" s="77"/>
    <row r="697" ht="15.75" customHeight="1" s="77"/>
    <row r="698" ht="15.75" customHeight="1" s="77"/>
    <row r="699" ht="15.75" customHeight="1" s="77"/>
    <row r="700" ht="15.75" customHeight="1" s="77"/>
    <row r="701" ht="15.75" customHeight="1" s="77"/>
    <row r="702" ht="15.75" customHeight="1" s="77"/>
    <row r="703" ht="15.75" customHeight="1" s="77"/>
    <row r="704" ht="15.75" customHeight="1" s="77"/>
    <row r="705" ht="15.75" customHeight="1" s="77"/>
    <row r="706" ht="15.75" customHeight="1" s="77"/>
    <row r="707" ht="15.75" customHeight="1" s="77"/>
    <row r="708" ht="15.75" customHeight="1" s="77"/>
    <row r="709" ht="15.75" customHeight="1" s="77"/>
    <row r="710" ht="15.75" customHeight="1" s="77"/>
    <row r="711" ht="15.75" customHeight="1" s="77"/>
    <row r="712" ht="15.75" customHeight="1" s="77"/>
    <row r="713" ht="15.75" customHeight="1" s="77"/>
    <row r="714" ht="15.75" customHeight="1" s="77"/>
    <row r="715" ht="15.75" customHeight="1" s="77"/>
    <row r="716" ht="15.75" customHeight="1" s="77"/>
    <row r="717" ht="15.75" customHeight="1" s="77"/>
    <row r="718" ht="15.75" customHeight="1" s="77"/>
    <row r="719" ht="15.75" customHeight="1" s="77"/>
    <row r="720" ht="15.75" customHeight="1" s="77"/>
    <row r="721" ht="15.75" customHeight="1" s="77"/>
    <row r="722" ht="15.75" customHeight="1" s="77"/>
    <row r="723" ht="15.75" customHeight="1" s="77"/>
    <row r="724" ht="15.75" customHeight="1" s="77"/>
    <row r="725" ht="15.75" customHeight="1" s="77"/>
    <row r="726" ht="15.75" customHeight="1" s="77"/>
    <row r="727" ht="15.75" customHeight="1" s="77"/>
    <row r="728" ht="15.75" customHeight="1" s="77"/>
    <row r="729" ht="15.75" customHeight="1" s="77"/>
    <row r="730" ht="15.75" customHeight="1" s="77"/>
    <row r="731" ht="15.75" customHeight="1" s="77"/>
    <row r="732" ht="15.75" customHeight="1" s="77"/>
    <row r="733" ht="15.75" customHeight="1" s="77"/>
    <row r="734" ht="15.75" customHeight="1" s="77"/>
    <row r="735" ht="15.75" customHeight="1" s="77"/>
    <row r="736" ht="15.75" customHeight="1" s="77"/>
    <row r="737" ht="15.75" customHeight="1" s="77"/>
    <row r="738" ht="15.75" customHeight="1" s="77"/>
    <row r="739" ht="15.75" customHeight="1" s="77"/>
    <row r="740" ht="15.75" customHeight="1" s="77"/>
    <row r="741" ht="15.75" customHeight="1" s="77"/>
    <row r="742" ht="15.75" customHeight="1" s="77"/>
    <row r="743" ht="15.75" customHeight="1" s="77"/>
    <row r="744" ht="15.75" customHeight="1" s="77"/>
    <row r="745" ht="15.75" customHeight="1" s="77"/>
    <row r="746" ht="15.75" customHeight="1" s="77"/>
    <row r="747" ht="15.75" customHeight="1" s="77"/>
    <row r="748" ht="15.75" customHeight="1" s="77"/>
    <row r="749" ht="15.75" customHeight="1" s="77"/>
    <row r="750" ht="15.75" customHeight="1" s="77"/>
    <row r="751" ht="15.75" customHeight="1" s="77"/>
    <row r="752" ht="15.75" customHeight="1" s="77"/>
    <row r="753" ht="15.75" customHeight="1" s="77"/>
    <row r="754" ht="15.75" customHeight="1" s="77"/>
    <row r="755" ht="15.75" customHeight="1" s="77"/>
    <row r="756" ht="15.75" customHeight="1" s="77"/>
    <row r="757" ht="15.75" customHeight="1" s="77"/>
    <row r="758" ht="15.75" customHeight="1" s="77"/>
    <row r="759" ht="15.75" customHeight="1" s="77"/>
    <row r="760" ht="15.75" customHeight="1" s="77"/>
    <row r="761" ht="15.75" customHeight="1" s="77"/>
    <row r="762" ht="15.75" customHeight="1" s="77"/>
    <row r="763" ht="15.75" customHeight="1" s="77"/>
    <row r="764" ht="15.75" customHeight="1" s="77"/>
    <row r="765" ht="15.75" customHeight="1" s="77"/>
    <row r="766" ht="15.75" customHeight="1" s="77"/>
    <row r="767" ht="15.75" customHeight="1" s="77"/>
    <row r="768" ht="15.75" customHeight="1" s="77"/>
    <row r="769" ht="15.75" customHeight="1" s="77"/>
    <row r="770" ht="15.75" customHeight="1" s="77"/>
    <row r="771" ht="15.75" customHeight="1" s="77"/>
    <row r="772" ht="15.75" customHeight="1" s="77"/>
    <row r="773" ht="15.75" customHeight="1" s="77"/>
    <row r="774" ht="15.75" customHeight="1" s="77"/>
    <row r="775" ht="15.75" customHeight="1" s="77"/>
    <row r="776" ht="15.75" customHeight="1" s="77"/>
    <row r="777" ht="15.75" customHeight="1" s="77"/>
    <row r="778" ht="15.75" customHeight="1" s="77"/>
    <row r="779" ht="15.75" customHeight="1" s="77"/>
    <row r="780" ht="15.75" customHeight="1" s="77"/>
    <row r="781" ht="15.75" customHeight="1" s="77"/>
    <row r="782" ht="15.75" customHeight="1" s="77"/>
    <row r="783" ht="15.75" customHeight="1" s="77"/>
    <row r="784" ht="15.75" customHeight="1" s="77"/>
    <row r="785" ht="15.75" customHeight="1" s="77"/>
    <row r="786" ht="15.75" customHeight="1" s="77"/>
    <row r="787" ht="15.75" customHeight="1" s="77"/>
    <row r="788" ht="15.75" customHeight="1" s="77"/>
    <row r="789" ht="15.75" customHeight="1" s="77"/>
    <row r="790" ht="15.75" customHeight="1" s="77"/>
    <row r="791" ht="15.75" customHeight="1" s="77"/>
    <row r="792" ht="15.75" customHeight="1" s="77"/>
    <row r="793" ht="15.75" customHeight="1" s="77"/>
    <row r="794" ht="15.75" customHeight="1" s="77"/>
    <row r="795" ht="15.75" customHeight="1" s="77"/>
    <row r="796" ht="15.75" customHeight="1" s="77"/>
    <row r="797" ht="15.75" customHeight="1" s="77"/>
    <row r="798" ht="15.75" customHeight="1" s="77"/>
    <row r="799" ht="15.75" customHeight="1" s="77"/>
    <row r="800" ht="15.75" customHeight="1" s="77"/>
    <row r="801" ht="15.75" customHeight="1" s="77"/>
    <row r="802" ht="15.75" customHeight="1" s="77"/>
    <row r="803" ht="15.75" customHeight="1" s="77"/>
    <row r="804" ht="15.75" customHeight="1" s="77"/>
    <row r="805" ht="15.75" customHeight="1" s="77"/>
    <row r="806" ht="15.75" customHeight="1" s="77"/>
    <row r="807" ht="15.75" customHeight="1" s="77"/>
    <row r="808" ht="15.75" customHeight="1" s="77"/>
    <row r="809" ht="15.75" customHeight="1" s="77"/>
    <row r="810" ht="15.75" customHeight="1" s="77"/>
    <row r="811" ht="15.75" customHeight="1" s="77"/>
    <row r="812" ht="15.75" customHeight="1" s="77"/>
    <row r="813" ht="15.75" customHeight="1" s="77"/>
    <row r="814" ht="15.75" customHeight="1" s="77"/>
    <row r="815" ht="15.75" customHeight="1" s="77"/>
    <row r="816" ht="15.75" customHeight="1" s="77"/>
    <row r="817" ht="15.75" customHeight="1" s="77"/>
    <row r="818" ht="15.75" customHeight="1" s="77"/>
    <row r="819" ht="15.75" customHeight="1" s="77"/>
    <row r="820" ht="15.75" customHeight="1" s="77"/>
    <row r="821" ht="15.75" customHeight="1" s="77"/>
    <row r="822" ht="15.75" customHeight="1" s="77"/>
    <row r="823" ht="15.75" customHeight="1" s="77"/>
    <row r="824" ht="15.75" customHeight="1" s="77"/>
    <row r="825" ht="15.75" customHeight="1" s="77"/>
    <row r="826" ht="15.75" customHeight="1" s="77"/>
    <row r="827" ht="15.75" customHeight="1" s="77"/>
    <row r="828" ht="15.75" customHeight="1" s="77"/>
    <row r="829" ht="15.75" customHeight="1" s="77"/>
    <row r="830" ht="15.75" customHeight="1" s="77"/>
    <row r="831" ht="15.75" customHeight="1" s="77"/>
    <row r="832" ht="15.75" customHeight="1" s="77"/>
    <row r="833" ht="15.75" customHeight="1" s="77"/>
    <row r="834" ht="15.75" customHeight="1" s="77"/>
    <row r="835" ht="15.75" customHeight="1" s="77"/>
    <row r="836" ht="15.75" customHeight="1" s="77"/>
    <row r="837" ht="15.75" customHeight="1" s="77"/>
    <row r="838" ht="15.75" customHeight="1" s="77"/>
    <row r="839" ht="15.75" customHeight="1" s="77"/>
    <row r="840" ht="15.75" customHeight="1" s="77"/>
    <row r="841" ht="15.75" customHeight="1" s="77"/>
    <row r="842" ht="15.75" customHeight="1" s="77"/>
    <row r="843" ht="15.75" customHeight="1" s="77"/>
    <row r="844" ht="15.75" customHeight="1" s="77"/>
    <row r="845" ht="15.75" customHeight="1" s="77"/>
    <row r="846" ht="15.75" customHeight="1" s="77"/>
    <row r="847" ht="15.75" customHeight="1" s="77"/>
    <row r="848" ht="15.75" customHeight="1" s="77"/>
    <row r="849" ht="15.75" customHeight="1" s="77"/>
    <row r="850" ht="15.75" customHeight="1" s="77"/>
    <row r="851" ht="15.75" customHeight="1" s="77"/>
    <row r="852" ht="15.75" customHeight="1" s="77"/>
    <row r="853" ht="15.75" customHeight="1" s="77"/>
    <row r="854" ht="15.75" customHeight="1" s="77"/>
    <row r="855" ht="15.75" customHeight="1" s="77"/>
    <row r="856" ht="15.75" customHeight="1" s="77"/>
    <row r="857" ht="15.75" customHeight="1" s="77"/>
    <row r="858" ht="15.75" customHeight="1" s="77"/>
    <row r="859" ht="15.75" customHeight="1" s="77"/>
    <row r="860" ht="15.75" customHeight="1" s="77"/>
    <row r="861" ht="15.75" customHeight="1" s="77"/>
    <row r="862" ht="15.75" customHeight="1" s="77"/>
    <row r="863" ht="15.75" customHeight="1" s="77"/>
    <row r="864" ht="15.75" customHeight="1" s="77"/>
    <row r="865" ht="15.75" customHeight="1" s="77"/>
    <row r="866" ht="15.75" customHeight="1" s="77"/>
    <row r="867" ht="15.75" customHeight="1" s="77"/>
    <row r="868" ht="15.75" customHeight="1" s="77"/>
    <row r="869" ht="15.75" customHeight="1" s="77"/>
    <row r="870" ht="15.75" customHeight="1" s="77"/>
    <row r="871" ht="15.75" customHeight="1" s="77"/>
    <row r="872" ht="15.75" customHeight="1" s="77"/>
    <row r="873" ht="15.75" customHeight="1" s="77"/>
    <row r="874" ht="15.75" customHeight="1" s="77"/>
    <row r="875" ht="15.75" customHeight="1" s="77"/>
    <row r="876" ht="15.75" customHeight="1" s="77"/>
    <row r="877" ht="15.75" customHeight="1" s="77"/>
    <row r="878" ht="15.75" customHeight="1" s="77"/>
    <row r="879" ht="15.75" customHeight="1" s="77"/>
    <row r="880" ht="15.75" customHeight="1" s="77"/>
    <row r="881" ht="15.75" customHeight="1" s="77"/>
    <row r="882" ht="15.75" customHeight="1" s="77"/>
    <row r="883" ht="15.75" customHeight="1" s="77"/>
    <row r="884" ht="15.75" customHeight="1" s="77"/>
    <row r="885" ht="15.75" customHeight="1" s="77"/>
    <row r="886" ht="15.75" customHeight="1" s="77"/>
    <row r="887" ht="15.75" customHeight="1" s="77"/>
    <row r="888" ht="15.75" customHeight="1" s="77"/>
    <row r="889" ht="15.75" customHeight="1" s="77"/>
    <row r="890" ht="15.75" customHeight="1" s="77"/>
    <row r="891" ht="15.75" customHeight="1" s="77"/>
    <row r="892" ht="15.75" customHeight="1" s="77"/>
    <row r="893" ht="15.75" customHeight="1" s="77"/>
    <row r="894" ht="15.75" customHeight="1" s="77"/>
    <row r="895" ht="15.75" customHeight="1" s="77"/>
    <row r="896" ht="15.75" customHeight="1" s="77"/>
    <row r="897" ht="15.75" customHeight="1" s="77"/>
    <row r="898" ht="15.75" customHeight="1" s="77"/>
    <row r="899" ht="15.75" customHeight="1" s="77"/>
    <row r="900" ht="15.75" customHeight="1" s="77"/>
    <row r="901" ht="15.75" customHeight="1" s="77"/>
    <row r="902" ht="15.75" customHeight="1" s="77"/>
    <row r="903" ht="15.75" customHeight="1" s="77"/>
    <row r="904" ht="15.75" customHeight="1" s="77"/>
    <row r="905" ht="15.75" customHeight="1" s="77"/>
    <row r="906" ht="15.75" customHeight="1" s="77"/>
    <row r="907" ht="15.75" customHeight="1" s="77"/>
    <row r="908" ht="15.75" customHeight="1" s="77"/>
    <row r="909" ht="15.75" customHeight="1" s="77"/>
    <row r="910" ht="15.75" customHeight="1" s="77"/>
    <row r="911" ht="15.75" customHeight="1" s="77"/>
    <row r="912" ht="15.75" customHeight="1" s="77"/>
    <row r="913" ht="15.75" customHeight="1" s="77"/>
    <row r="914" ht="15.75" customHeight="1" s="77"/>
    <row r="915" ht="15.75" customHeight="1" s="77"/>
    <row r="916" ht="15.75" customHeight="1" s="77"/>
    <row r="917" ht="15.75" customHeight="1" s="77"/>
    <row r="918" ht="15.75" customHeight="1" s="77"/>
    <row r="919" ht="15.75" customHeight="1" s="77"/>
    <row r="920" ht="15.75" customHeight="1" s="77"/>
    <row r="921" ht="15.75" customHeight="1" s="77"/>
    <row r="922" ht="15.75" customHeight="1" s="77"/>
    <row r="923" ht="15.75" customHeight="1" s="77"/>
    <row r="924" ht="15.75" customHeight="1" s="77"/>
    <row r="925" ht="15.75" customHeight="1" s="77"/>
    <row r="926" ht="15.75" customHeight="1" s="77"/>
    <row r="927" ht="15.75" customHeight="1" s="77"/>
    <row r="928" ht="15.75" customHeight="1" s="77"/>
    <row r="929" ht="15.75" customHeight="1" s="77"/>
    <row r="930" ht="15.75" customHeight="1" s="77"/>
    <row r="931" ht="15.75" customHeight="1" s="77"/>
    <row r="932" ht="15.75" customHeight="1" s="77"/>
    <row r="933" ht="15.75" customHeight="1" s="77"/>
    <row r="934" ht="15.75" customHeight="1" s="77"/>
    <row r="935" ht="15.75" customHeight="1" s="77"/>
    <row r="936" ht="15.75" customHeight="1" s="77"/>
    <row r="937" ht="15.75" customHeight="1" s="77"/>
    <row r="938" ht="15.75" customHeight="1" s="77"/>
    <row r="939" ht="15.75" customHeight="1" s="77"/>
    <row r="940" ht="15.75" customHeight="1" s="77"/>
    <row r="941" ht="15.75" customHeight="1" s="77"/>
    <row r="942" ht="15.75" customHeight="1" s="77"/>
    <row r="943" ht="15.75" customHeight="1" s="77"/>
    <row r="944" ht="15.75" customHeight="1" s="77"/>
    <row r="945" ht="15.75" customHeight="1" s="77"/>
    <row r="946" ht="15.75" customHeight="1" s="77"/>
    <row r="947" ht="15.75" customHeight="1" s="77"/>
    <row r="948" ht="15.75" customHeight="1" s="77"/>
    <row r="949" ht="15.75" customHeight="1" s="77"/>
    <row r="950" ht="15.75" customHeight="1" s="77"/>
    <row r="951" ht="15.75" customHeight="1" s="77"/>
    <row r="952" ht="15.75" customHeight="1" s="77"/>
    <row r="953" ht="15.75" customHeight="1" s="77"/>
    <row r="954" ht="15.75" customHeight="1" s="77"/>
    <row r="955" ht="15.75" customHeight="1" s="77"/>
    <row r="956" ht="15.75" customHeight="1" s="77"/>
    <row r="957" ht="15.75" customHeight="1" s="77"/>
    <row r="958" ht="15.75" customHeight="1" s="77"/>
    <row r="959" ht="15.75" customHeight="1" s="77"/>
    <row r="960" ht="15.75" customHeight="1" s="77"/>
    <row r="961" ht="15.75" customHeight="1" s="77"/>
    <row r="962" ht="15.75" customHeight="1" s="77"/>
    <row r="963" ht="15.75" customHeight="1" s="77"/>
    <row r="964" ht="15.75" customHeight="1" s="77"/>
    <row r="965" ht="15.75" customHeight="1" s="77"/>
    <row r="966" ht="15.75" customHeight="1" s="77"/>
    <row r="967" ht="15.75" customHeight="1" s="77"/>
    <row r="968" ht="15.75" customHeight="1" s="77"/>
    <row r="969" ht="15.75" customHeight="1" s="77"/>
    <row r="970" ht="15.75" customHeight="1" s="77"/>
    <row r="971" ht="15.75" customHeight="1" s="77"/>
    <row r="972" ht="15.75" customHeight="1" s="77"/>
    <row r="973" ht="15.75" customHeight="1" s="77"/>
    <row r="974" ht="15.75" customHeight="1" s="77"/>
    <row r="975" ht="15.75" customHeight="1" s="77"/>
    <row r="976" ht="15.75" customHeight="1" s="77"/>
    <row r="977" ht="15.75" customHeight="1" s="77"/>
    <row r="978" ht="15.75" customHeight="1" s="77"/>
    <row r="979" ht="15.75" customHeight="1" s="77"/>
    <row r="980" ht="15.75" customHeight="1" s="77"/>
    <row r="981" ht="15.75" customHeight="1" s="77"/>
    <row r="982" ht="15.75" customHeight="1" s="77"/>
    <row r="983" ht="15.75" customHeight="1" s="77"/>
    <row r="984" ht="15.75" customHeight="1" s="77"/>
    <row r="985" ht="15.75" customHeight="1" s="77"/>
    <row r="986" ht="15.75" customHeight="1" s="77"/>
    <row r="987" ht="15.75" customHeight="1" s="77"/>
    <row r="988" ht="15.75" customHeight="1" s="77"/>
    <row r="989" ht="15.75" customHeight="1" s="77"/>
    <row r="990" ht="15.75" customHeight="1" s="77"/>
    <row r="991" ht="15.75" customHeight="1" s="77"/>
    <row r="992" ht="15.75" customHeight="1" s="77"/>
    <row r="993" ht="15.75" customHeight="1" s="77"/>
    <row r="994" ht="15.75" customHeight="1" s="77"/>
    <row r="995" ht="15.75" customHeight="1" s="77"/>
    <row r="996" ht="15.75" customHeight="1" s="77"/>
    <row r="997" ht="15.75" customHeight="1" s="77"/>
    <row r="998" ht="15.75" customHeight="1" s="77"/>
    <row r="999" ht="15.75" customHeight="1" s="77"/>
    <row r="1000" ht="15.75" customHeight="1" s="77"/>
  </sheetData>
  <mergeCells count="6">
    <mergeCell ref="A6:C50"/>
    <mergeCell ref="A1:C1"/>
    <mergeCell ref="A53:C53"/>
    <mergeCell ref="A2:C5"/>
    <mergeCell ref="A51:C51"/>
    <mergeCell ref="A52:C5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C54"/>
  <sheetViews>
    <sheetView workbookViewId="0">
      <selection activeCell="A1" sqref="A1"/>
    </sheetView>
  </sheetViews>
  <sheetFormatPr baseColWidth="10" defaultColWidth="12.5703125" defaultRowHeight="15" customHeight="1"/>
  <cols>
    <col width="9.140625" customWidth="1" style="77" min="1" max="1"/>
    <col width="89.7109375" customWidth="1" style="77" min="2" max="2"/>
    <col width="8.7109375" customWidth="1" style="77" min="3" max="3"/>
    <col width="12.5703125" customWidth="1" style="77" min="4" max="6"/>
  </cols>
  <sheetData>
    <row r="1" ht="15.75" customHeight="1" s="77">
      <c r="A1" s="3" t="n"/>
      <c r="B1" s="34" t="inlineStr">
        <is>
          <t>Tâches</t>
        </is>
      </c>
      <c r="C1" s="34" t="inlineStr">
        <is>
          <t>Estimation</t>
        </is>
      </c>
    </row>
    <row r="2" ht="15.75" customHeight="1" s="77">
      <c r="A2" s="36" t="n"/>
      <c r="B2" s="3" t="inlineStr">
        <is>
          <t>Analyse et Conception de projet</t>
        </is>
      </c>
      <c r="C2" s="37" t="n">
        <v>2</v>
      </c>
    </row>
    <row r="3" ht="15.75" customHeight="1" s="77">
      <c r="A3" s="36" t="n"/>
      <c r="B3" s="3" t="inlineStr">
        <is>
          <t xml:space="preserve">apprentissage nouveau technologie </t>
        </is>
      </c>
      <c r="C3" s="37" t="n">
        <v>2</v>
      </c>
    </row>
    <row r="4" ht="15.75" customHeight="1" s="77">
      <c r="A4" s="26" t="inlineStr">
        <is>
          <t xml:space="preserve">SPRINT I </t>
        </is>
      </c>
      <c r="B4" s="39" t="inlineStr">
        <is>
          <t>Installation des environnements</t>
        </is>
      </c>
      <c r="C4" s="37" t="n">
        <v>2</v>
      </c>
    </row>
    <row r="5" ht="15.75" customHeight="1" s="77">
      <c r="A5" s="36" t="n"/>
      <c r="B5" s="3" t="inlineStr">
        <is>
          <t xml:space="preserve">Création de Base de données </t>
        </is>
      </c>
      <c r="C5" s="37" t="n">
        <v>1</v>
      </c>
    </row>
    <row r="6" ht="15.75" customHeight="1" s="77">
      <c r="A6" s="36" t="n"/>
      <c r="B6" s="3" t="inlineStr">
        <is>
          <t>Apprentissage de Websocket</t>
        </is>
      </c>
      <c r="C6" s="37" t="n">
        <v>2</v>
      </c>
    </row>
    <row r="7" ht="15.75" customHeight="1" s="77">
      <c r="A7" s="36" t="n"/>
      <c r="B7" s="3" t="n"/>
      <c r="C7" s="3" t="n"/>
    </row>
    <row r="8" ht="15.75" customHeight="1" s="77">
      <c r="A8" s="36" t="n"/>
      <c r="B8" s="3" t="inlineStr">
        <is>
          <t>SOUS TOTAL</t>
        </is>
      </c>
      <c r="C8" s="37">
        <f>SUM(C2,C3,C6,C7,C5,C4)</f>
        <v/>
      </c>
    </row>
    <row r="9" ht="15.75" customHeight="1" s="77">
      <c r="A9" s="3" t="n"/>
      <c r="B9" s="3" t="n"/>
      <c r="C9" s="3" t="n"/>
    </row>
    <row r="10" ht="15.75" customHeight="1" s="77">
      <c r="A10" s="36" t="n"/>
      <c r="B10" s="3" t="inlineStr">
        <is>
          <t>Créations d'agent(code python et websocket) capable de collecter les informations de Ressources physique du Système</t>
        </is>
      </c>
      <c r="C10" s="37" t="n">
        <v>1</v>
      </c>
    </row>
    <row r="11" ht="15.75" customHeight="1" s="77">
      <c r="A11" s="36" t="n"/>
      <c r="B11" s="3" t="inlineStr">
        <is>
          <t>Créations d'agent(code python et websocket) capable de collecter les informations de Network Système</t>
        </is>
      </c>
      <c r="C11" s="37" t="n">
        <v>1</v>
      </c>
    </row>
    <row r="12" ht="15.75" customHeight="1" s="77">
      <c r="A12" s="36" t="n"/>
      <c r="B12" s="3" t="inlineStr">
        <is>
          <t>Création d'agent(code python et websocket) capable de collecter les informations des commandes taper sur le système</t>
        </is>
      </c>
      <c r="C12" s="37" t="n">
        <v>1</v>
      </c>
    </row>
    <row r="13" ht="15.75" customHeight="1" s="77">
      <c r="A13" s="26" t="inlineStr">
        <is>
          <t xml:space="preserve">SPRINT II </t>
        </is>
      </c>
      <c r="B13" s="3" t="inlineStr">
        <is>
          <t xml:space="preserve">Création de script sh linux pour automatiser les services des agents creer </t>
        </is>
      </c>
      <c r="C13" s="37" t="n">
        <v>1</v>
      </c>
    </row>
    <row r="14" ht="15.75" customHeight="1" s="77">
      <c r="A14" s="36" t="n"/>
      <c r="B14" s="3" t="n"/>
      <c r="C14" s="3" t="n"/>
    </row>
    <row r="15" ht="15.75" customHeight="1" s="77">
      <c r="A15" s="36" t="n"/>
      <c r="B15" s="3" t="n"/>
      <c r="C15" s="3" t="n"/>
    </row>
    <row r="16" ht="15.75" customHeight="1" s="77">
      <c r="A16" s="36" t="n"/>
      <c r="B16" s="3" t="inlineStr">
        <is>
          <t>SOUS TOTAL</t>
        </is>
      </c>
      <c r="C16" s="37">
        <f>SUM(C10,C11,C12,C13,C14,C15)</f>
        <v/>
      </c>
    </row>
    <row r="17" ht="15.75" customHeight="1" s="77">
      <c r="A17" s="3" t="n"/>
      <c r="B17" s="44" t="inlineStr">
        <is>
          <t>PARTIE ADMINISTRATEUR(Front-end et Backend avec Intégration API)</t>
        </is>
      </c>
      <c r="C17" s="3" t="n"/>
    </row>
    <row r="18" ht="15.75" customHeight="1" s="77">
      <c r="A18" s="36" t="n"/>
      <c r="B18" s="3" t="inlineStr">
        <is>
          <t>Création de Login et gestion de token admin</t>
        </is>
      </c>
      <c r="C18" s="37" t="n">
        <v>1</v>
      </c>
    </row>
    <row r="19" ht="15.75" customHeight="1" s="77">
      <c r="A19" s="36" t="n"/>
      <c r="B19" s="3" t="inlineStr">
        <is>
          <t>Gestion de Serveur et Générations des cles specifiques pour chaque serveur pour la communication Websockets</t>
        </is>
      </c>
      <c r="C19" s="37" t="n">
        <v>4</v>
      </c>
    </row>
    <row r="20" ht="15.75" customHeight="1" s="77">
      <c r="A20" s="36" t="n"/>
      <c r="B20" s="3" t="inlineStr">
        <is>
          <t xml:space="preserve">Gestion de compte Superviseur </t>
        </is>
      </c>
      <c r="C20" s="37" t="n">
        <v>2</v>
      </c>
    </row>
    <row r="21" ht="15.75" customHeight="1" s="77">
      <c r="A21" s="26" t="inlineStr">
        <is>
          <t>SPRINT III</t>
        </is>
      </c>
      <c r="B21" s="3" t="inlineStr">
        <is>
          <t>Gestion d'Affectation des serveurs  a plusieurs Superviseurs</t>
        </is>
      </c>
      <c r="C21" s="37" t="n">
        <v>5</v>
      </c>
    </row>
    <row r="22" ht="15.75" customHeight="1" s="77">
      <c r="A22" s="36" t="n"/>
      <c r="B22" s="3" t="n"/>
      <c r="C22" s="3" t="n"/>
    </row>
    <row r="23" ht="15.75" customHeight="1" s="77">
      <c r="A23" s="36" t="n"/>
      <c r="B23" s="3" t="n"/>
      <c r="C23" s="3" t="n"/>
    </row>
    <row r="24" ht="15.75" customHeight="1" s="77">
      <c r="A24" s="36" t="n"/>
      <c r="B24" s="3" t="n"/>
      <c r="C24" s="3" t="n"/>
    </row>
    <row r="25" ht="15.75" customHeight="1" s="77">
      <c r="A25" s="36" t="n"/>
      <c r="B25" s="3" t="inlineStr">
        <is>
          <t>SOUS TOTAL</t>
        </is>
      </c>
      <c r="C25" s="37">
        <f>SUM(C18,C19,C20,C21,C22,C23,C24)</f>
        <v/>
      </c>
    </row>
    <row r="26" ht="15.75" customHeight="1" s="77">
      <c r="A26" s="3" t="n"/>
      <c r="B26" s="44" t="inlineStr">
        <is>
          <t>PARTIE SUPERVISEUR(Front-end et Backend avec Intégration API)</t>
        </is>
      </c>
      <c r="C26" s="3" t="n"/>
    </row>
    <row r="27" ht="15.75" customHeight="1" s="77">
      <c r="A27" s="36" t="n"/>
      <c r="B27" s="3" t="inlineStr">
        <is>
          <t>Création de Login et gestion de token superviseur</t>
        </is>
      </c>
      <c r="C27" s="37" t="n">
        <v>1</v>
      </c>
    </row>
    <row r="28" ht="15.75" customHeight="1" s="77">
      <c r="A28" s="26" t="inlineStr">
        <is>
          <t>SPRINT IV</t>
        </is>
      </c>
      <c r="B28" s="3" t="inlineStr">
        <is>
          <t>Visualisation en temps réels des consommations de Ressources Systeme de chaque Serveur cible par l'agent</t>
        </is>
      </c>
      <c r="C28" s="37" t="n">
        <v>6</v>
      </c>
    </row>
    <row r="29" ht="15.75" customHeight="1" s="77">
      <c r="A29" s="36" t="n"/>
      <c r="B29" s="3" t="inlineStr">
        <is>
          <t>Visualisation en  temps réels des consommations de Reseau de chaque serveur cible par l'agent</t>
        </is>
      </c>
      <c r="C29" s="37" t="n">
        <v>4</v>
      </c>
    </row>
    <row r="30" ht="15.75" customHeight="1" s="77">
      <c r="A30" s="36" t="n"/>
      <c r="B30" s="3" t="inlineStr">
        <is>
          <t>Consultations des historiques de commandes taper par l'utilisateur pour chaque serveur cible</t>
        </is>
      </c>
      <c r="C30" s="37" t="n">
        <v>4</v>
      </c>
    </row>
    <row r="31" ht="15.75" customHeight="1" s="77">
      <c r="A31" s="3" t="n"/>
      <c r="B31" s="3" t="inlineStr">
        <is>
          <t>Création des view nécessaires</t>
        </is>
      </c>
      <c r="C31" s="37" t="n">
        <v>1</v>
      </c>
    </row>
    <row r="32" ht="15.75" customHeight="1" s="77">
      <c r="A32" s="39" t="n"/>
      <c r="B32" s="39" t="inlineStr">
        <is>
          <t>SOUS TOTAL</t>
        </is>
      </c>
      <c r="C32" s="37">
        <f>SUM(C33,C34,,C31,C29,C30,C28,C27)</f>
        <v/>
      </c>
    </row>
    <row r="33" ht="15.75" customHeight="1" s="77">
      <c r="A33" s="3" t="n"/>
      <c r="B33" s="3" t="n"/>
      <c r="C33" s="3" t="n"/>
    </row>
    <row r="34" ht="15.75" customHeight="1" s="77">
      <c r="A34" s="3" t="n"/>
      <c r="B34" s="3" t="n"/>
      <c r="C34" s="3" t="n"/>
    </row>
    <row r="35" ht="15.75" customHeight="1" s="77">
      <c r="A35" s="3" t="n"/>
      <c r="B35" s="3" t="n"/>
      <c r="C35" s="3" t="n"/>
    </row>
    <row r="36" ht="15.75" customHeight="1" s="77">
      <c r="A36" s="3" t="n"/>
      <c r="B36" s="44" t="inlineStr">
        <is>
          <t>PARTIE ADMINISTRATEUR ET PARTIE SUPERVISEUR(front-end et Backend avec Intégration API)</t>
        </is>
      </c>
      <c r="C36" s="3" t="n"/>
    </row>
    <row r="37" ht="15.75" customHeight="1" s="77">
      <c r="A37" s="36" t="n"/>
      <c r="B37" s="3" t="inlineStr">
        <is>
          <t>Automatisation d'intégration de clés serveur dans chaque agent et lien de téléchargement d'agent(administrateur)</t>
        </is>
      </c>
      <c r="C37" s="37" t="n">
        <v>3</v>
      </c>
    </row>
    <row r="38" ht="15.75" customHeight="1" s="77">
      <c r="A38" s="36" t="n"/>
      <c r="B38" s="3" t="inlineStr">
        <is>
          <t>Mise en place de configuration de seuil pour chaque serveur (seuil de ressource)</t>
        </is>
      </c>
      <c r="C38" s="37" t="n">
        <v>2</v>
      </c>
    </row>
    <row r="39" ht="15.75" customHeight="1" s="77">
      <c r="A39" s="26" t="inlineStr">
        <is>
          <t xml:space="preserve">SPRINT V </t>
        </is>
      </c>
      <c r="B39" s="3" t="inlineStr">
        <is>
          <t>Mise en place de Représentation graphique de load average cpu et ram en temps réels pour chaque Serveur</t>
        </is>
      </c>
      <c r="C39" s="37" t="n">
        <v>4</v>
      </c>
    </row>
    <row r="40" ht="15.75" customHeight="1" s="77">
      <c r="A40" s="36" t="n"/>
      <c r="B40" s="3" t="inlineStr">
        <is>
          <t>Mise en place de Représentation graphique de consommations de Réseau pour chaque Serveur</t>
        </is>
      </c>
      <c r="C40" s="37" t="n">
        <v>4</v>
      </c>
    </row>
    <row r="41" ht="15.75" customHeight="1" s="77">
      <c r="A41" s="36" t="n"/>
      <c r="B41" s="3" t="inlineStr">
        <is>
          <t xml:space="preserve">Créations des views nécessaires </t>
        </is>
      </c>
      <c r="C41" s="37" t="n">
        <v>1</v>
      </c>
    </row>
    <row r="42" ht="15.75" customHeight="1" s="77">
      <c r="A42" s="36" t="n"/>
      <c r="B42" s="3" t="n"/>
      <c r="C42" s="3" t="n"/>
    </row>
    <row r="43" ht="15.75" customHeight="1" s="77">
      <c r="A43" s="36" t="n"/>
      <c r="B43" s="3" t="n"/>
      <c r="C43" s="3" t="n"/>
    </row>
    <row r="44" ht="15.75" customHeight="1" s="77">
      <c r="A44" s="36" t="n"/>
      <c r="B44" s="3" t="n"/>
      <c r="C44" s="3" t="n"/>
    </row>
    <row r="45" ht="15.75" customHeight="1" s="77">
      <c r="A45" s="36" t="n"/>
      <c r="B45" s="3" t="inlineStr">
        <is>
          <t>SOUS TOTAL</t>
        </is>
      </c>
      <c r="C45" s="37">
        <f>SUM(C37,C38,C39,C41,C42,C43,C44,C40)</f>
        <v/>
      </c>
    </row>
    <row r="46" ht="15.75" customHeight="1" s="77">
      <c r="A46" s="39" t="n"/>
      <c r="B46" s="44" t="inlineStr">
        <is>
          <t>PARTIE SUPERVISEUR ET ADMINISTRATEUR(Front-end et backend avec API)</t>
        </is>
      </c>
      <c r="C46" s="3" t="n"/>
    </row>
    <row r="47" ht="15.75" customHeight="1" s="77">
      <c r="A47" s="36" t="n"/>
      <c r="B47" s="3" t="inlineStr">
        <is>
          <t>Alerte en temps réels en cas de dépassement de seuil poser par l'administrateur(Superviseur)</t>
        </is>
      </c>
      <c r="C47" s="37" t="n">
        <v>4</v>
      </c>
    </row>
    <row r="48" ht="15.75" customHeight="1" s="77">
      <c r="A48" s="26" t="inlineStr">
        <is>
          <t>SPRINT VI</t>
        </is>
      </c>
      <c r="B48" s="3" t="inlineStr">
        <is>
          <t>Notifications en temps réels pour voir tous les alertes en cas de dépassement de seuil(Superviseur)</t>
        </is>
      </c>
      <c r="C48" s="37" t="n">
        <v>4</v>
      </c>
    </row>
    <row r="49" ht="15.75" customHeight="1" s="77">
      <c r="A49" s="36" t="n"/>
      <c r="B49" s="3" t="inlineStr">
        <is>
          <t>Optimisation de Backend pour la performance websocket</t>
        </is>
      </c>
      <c r="C49" s="37" t="n">
        <v>1</v>
      </c>
    </row>
    <row r="50" ht="15.75" customHeight="1" s="77">
      <c r="A50" s="36" t="n"/>
      <c r="B50" s="3" t="inlineStr">
        <is>
          <t>Optimisation Front-end pour le soin de design</t>
        </is>
      </c>
      <c r="C50" s="37" t="n">
        <v>1</v>
      </c>
    </row>
    <row r="51" ht="15.75" customHeight="1" s="77">
      <c r="A51" s="36" t="n"/>
      <c r="B51" s="3" t="inlineStr">
        <is>
          <t>Fonctionnalité de Filtre pour tous les pages</t>
        </is>
      </c>
      <c r="C51" s="37" t="n">
        <v>1</v>
      </c>
    </row>
    <row r="52" ht="15.75" customHeight="1" s="77">
      <c r="A52" s="36" t="n"/>
      <c r="B52" s="3" t="inlineStr">
        <is>
          <t>SOUS TOTAL</t>
        </is>
      </c>
      <c r="C52" s="37">
        <f>SUM(C48,C47,C49,C51,C50)</f>
        <v/>
      </c>
    </row>
    <row r="53" ht="15.75" customHeight="1" s="77">
      <c r="A53" s="39" t="n"/>
      <c r="B53" s="3" t="n"/>
      <c r="C53" s="3" t="n"/>
    </row>
    <row r="54" ht="15.75" customHeight="1" s="77">
      <c r="A54" s="39" t="n"/>
      <c r="B54" s="3" t="inlineStr">
        <is>
          <t>SOMME TOTAL</t>
        </is>
      </c>
      <c r="C54" s="37">
        <f>SUM(C52,C45,C32,C25,C16,C8)</f>
        <v/>
      </c>
    </row>
    <row r="55" ht="15.75" customHeight="1" s="77"/>
    <row r="56" ht="15.75" customHeight="1" s="77"/>
    <row r="57" ht="15.75" customHeight="1" s="77"/>
    <row r="58" ht="15.75" customHeight="1" s="77"/>
    <row r="59" ht="15.75" customHeight="1" s="77"/>
    <row r="60" ht="15.75" customHeight="1" s="77"/>
    <row r="61" ht="15.75" customHeight="1" s="77"/>
    <row r="62" ht="15.75" customHeight="1" s="77"/>
    <row r="63" ht="15.75" customHeight="1" s="77"/>
    <row r="64" ht="15.75" customHeight="1" s="77"/>
    <row r="65" ht="15.75" customHeight="1" s="77"/>
    <row r="66" ht="15.75" customHeight="1" s="77"/>
    <row r="67" ht="15.75" customHeight="1" s="77"/>
    <row r="68" ht="15.75" customHeight="1" s="77"/>
    <row r="69" ht="15.75" customHeight="1" s="77"/>
    <row r="70" ht="15.75" customHeight="1" s="77"/>
    <row r="71" ht="15.75" customHeight="1" s="77"/>
    <row r="72" ht="15.75" customHeight="1" s="77"/>
    <row r="73" ht="15.75" customHeight="1" s="77"/>
    <row r="74" ht="15.75" customHeight="1" s="77"/>
    <row r="75" ht="15.75" customHeight="1" s="77"/>
    <row r="76" ht="15.75" customHeight="1" s="77"/>
    <row r="77" ht="15.75" customHeight="1" s="77"/>
    <row r="78" ht="15.75" customHeight="1" s="77"/>
    <row r="79" ht="15.75" customHeight="1" s="77"/>
    <row r="80" ht="15.75" customHeight="1" s="77"/>
    <row r="81" ht="15.75" customHeight="1" s="77"/>
    <row r="82" ht="15.75" customHeight="1" s="77"/>
    <row r="83" ht="15.75" customHeight="1" s="77"/>
    <row r="84" ht="15.75" customHeight="1" s="77"/>
    <row r="85" ht="15.75" customHeight="1" s="77"/>
    <row r="86" ht="15.75" customHeight="1" s="77"/>
    <row r="87" ht="15.75" customHeight="1" s="77"/>
    <row r="88" ht="15.75" customHeight="1" s="77"/>
    <row r="89" ht="15.75" customHeight="1" s="77"/>
    <row r="90" ht="15.75" customHeight="1" s="77"/>
    <row r="91" ht="15.75" customHeight="1" s="77"/>
    <row r="92" ht="15.75" customHeight="1" s="77"/>
    <row r="93" ht="15.75" customHeight="1" s="77"/>
    <row r="94" ht="15.75" customHeight="1" s="77"/>
    <row r="95" ht="15.75" customHeight="1" s="77"/>
    <row r="96" ht="15.75" customHeight="1" s="77"/>
    <row r="97" ht="15.75" customHeight="1" s="77"/>
    <row r="98" ht="15.75" customHeight="1" s="77"/>
    <row r="99" ht="15.75" customHeight="1" s="77"/>
    <row r="100" ht="15.75" customHeight="1" s="77"/>
    <row r="101" ht="15.75" customHeight="1" s="77"/>
    <row r="102" ht="15.75" customHeight="1" s="77"/>
    <row r="103" ht="15.75" customHeight="1" s="77"/>
    <row r="104" ht="15.75" customHeight="1" s="77"/>
    <row r="105" ht="15.75" customHeight="1" s="77"/>
    <row r="106" ht="15.75" customHeight="1" s="77"/>
    <row r="107" ht="15.75" customHeight="1" s="77"/>
    <row r="108" ht="15.75" customHeight="1" s="77"/>
    <row r="109" ht="15.75" customHeight="1" s="77"/>
    <row r="110" ht="15.75" customHeight="1" s="77"/>
    <row r="111" ht="15.75" customHeight="1" s="77"/>
    <row r="112" ht="15.75" customHeight="1" s="77"/>
    <row r="113" ht="15.75" customHeight="1" s="77"/>
    <row r="114" ht="15.75" customHeight="1" s="77"/>
    <row r="115" ht="15.75" customHeight="1" s="77"/>
    <row r="116" ht="15.75" customHeight="1" s="77"/>
    <row r="117" ht="15.75" customHeight="1" s="77"/>
    <row r="118" ht="15.75" customHeight="1" s="77"/>
    <row r="119" ht="15.75" customHeight="1" s="77"/>
    <row r="120" ht="15.75" customHeight="1" s="77"/>
    <row r="121" ht="15.75" customHeight="1" s="77"/>
    <row r="122" ht="15.75" customHeight="1" s="77"/>
    <row r="123" ht="15.75" customHeight="1" s="77"/>
    <row r="124" ht="15.75" customHeight="1" s="77"/>
    <row r="125" ht="15.75" customHeight="1" s="77"/>
    <row r="126" ht="15.75" customHeight="1" s="77"/>
    <row r="127" ht="15.75" customHeight="1" s="77"/>
    <row r="128" ht="15.75" customHeight="1" s="77"/>
    <row r="129" ht="15.75" customHeight="1" s="77"/>
    <row r="130" ht="15.75" customHeight="1" s="77"/>
    <row r="131" ht="15.75" customHeight="1" s="77"/>
    <row r="132" ht="15.75" customHeight="1" s="77"/>
    <row r="133" ht="15.75" customHeight="1" s="77"/>
    <row r="134" ht="15.75" customHeight="1" s="77"/>
    <row r="135" ht="15.75" customHeight="1" s="77"/>
    <row r="136" ht="15.75" customHeight="1" s="77"/>
    <row r="137" ht="15.75" customHeight="1" s="77"/>
    <row r="138" ht="15.75" customHeight="1" s="77"/>
    <row r="139" ht="15.75" customHeight="1" s="77"/>
    <row r="140" ht="15.75" customHeight="1" s="77"/>
    <row r="141" ht="15.75" customHeight="1" s="77"/>
    <row r="142" ht="15.75" customHeight="1" s="77"/>
    <row r="143" ht="15.75" customHeight="1" s="77"/>
    <row r="144" ht="15.75" customHeight="1" s="77"/>
    <row r="145" ht="15.75" customHeight="1" s="77"/>
    <row r="146" ht="15.75" customHeight="1" s="77"/>
    <row r="147" ht="15.75" customHeight="1" s="77"/>
    <row r="148" ht="15.75" customHeight="1" s="77"/>
    <row r="149" ht="15.75" customHeight="1" s="77"/>
    <row r="150" ht="15.75" customHeight="1" s="77"/>
    <row r="151" ht="15.75" customHeight="1" s="77"/>
    <row r="152" ht="15.75" customHeight="1" s="77"/>
    <row r="153" ht="15.75" customHeight="1" s="77"/>
    <row r="154" ht="15.75" customHeight="1" s="77"/>
    <row r="155" ht="15.75" customHeight="1" s="77"/>
    <row r="156" ht="15.75" customHeight="1" s="77"/>
    <row r="157" ht="15.75" customHeight="1" s="77"/>
    <row r="158" ht="15.75" customHeight="1" s="77"/>
    <row r="159" ht="15.75" customHeight="1" s="77"/>
    <row r="160" ht="15.75" customHeight="1" s="77"/>
    <row r="161" ht="15.75" customHeight="1" s="77"/>
    <row r="162" ht="15.75" customHeight="1" s="77"/>
    <row r="163" ht="15.75" customHeight="1" s="77"/>
    <row r="164" ht="15.75" customHeight="1" s="77"/>
    <row r="165" ht="15.75" customHeight="1" s="77"/>
    <row r="166" ht="15.75" customHeight="1" s="77"/>
    <row r="167" ht="15.75" customHeight="1" s="77"/>
    <row r="168" ht="15.75" customHeight="1" s="77"/>
    <row r="169" ht="15.75" customHeight="1" s="77"/>
    <row r="170" ht="15.75" customHeight="1" s="77"/>
    <row r="171" ht="15.75" customHeight="1" s="77"/>
    <row r="172" ht="15.75" customHeight="1" s="77"/>
    <row r="173" ht="15.75" customHeight="1" s="77"/>
    <row r="174" ht="15.75" customHeight="1" s="77"/>
    <row r="175" ht="15.75" customHeight="1" s="77"/>
    <row r="176" ht="15.75" customHeight="1" s="77"/>
    <row r="177" ht="15.75" customHeight="1" s="77"/>
    <row r="178" ht="15.75" customHeight="1" s="77"/>
    <row r="179" ht="15.75" customHeight="1" s="77"/>
    <row r="180" ht="15.75" customHeight="1" s="77"/>
    <row r="181" ht="15.75" customHeight="1" s="77"/>
    <row r="182" ht="15.75" customHeight="1" s="77"/>
    <row r="183" ht="15.75" customHeight="1" s="77"/>
    <row r="184" ht="15.75" customHeight="1" s="77"/>
    <row r="185" ht="15.75" customHeight="1" s="77"/>
    <row r="186" ht="15.75" customHeight="1" s="77"/>
    <row r="187" ht="15.75" customHeight="1" s="77"/>
    <row r="188" ht="15.75" customHeight="1" s="77"/>
    <row r="189" ht="15.75" customHeight="1" s="77"/>
    <row r="190" ht="15.75" customHeight="1" s="77"/>
    <row r="191" ht="15.75" customHeight="1" s="77"/>
    <row r="192" ht="15.75" customHeight="1" s="77"/>
    <row r="193" ht="15.75" customHeight="1" s="77"/>
    <row r="194" ht="15.75" customHeight="1" s="77"/>
    <row r="195" ht="15.75" customHeight="1" s="77"/>
    <row r="196" ht="15.75" customHeight="1" s="77"/>
    <row r="197" ht="15.75" customHeight="1" s="77"/>
    <row r="198" ht="15.75" customHeight="1" s="77"/>
    <row r="199" ht="15.75" customHeight="1" s="77"/>
    <row r="200" ht="15.75" customHeight="1" s="77"/>
    <row r="201" ht="15.75" customHeight="1" s="77"/>
    <row r="202" ht="15.75" customHeight="1" s="77"/>
    <row r="203" ht="15.75" customHeight="1" s="77"/>
    <row r="204" ht="15.75" customHeight="1" s="77"/>
    <row r="205" ht="15.75" customHeight="1" s="77"/>
    <row r="206" ht="15.75" customHeight="1" s="77"/>
    <row r="207" ht="15.75" customHeight="1" s="77"/>
    <row r="208" ht="15.75" customHeight="1" s="77"/>
    <row r="209" ht="15.75" customHeight="1" s="77"/>
    <row r="210" ht="15.75" customHeight="1" s="77"/>
    <row r="211" ht="15.75" customHeight="1" s="77"/>
    <row r="212" ht="15.75" customHeight="1" s="77"/>
    <row r="213" ht="15.75" customHeight="1" s="77"/>
    <row r="214" ht="15.75" customHeight="1" s="77"/>
    <row r="215" ht="15.75" customHeight="1" s="77"/>
    <row r="216" ht="15.75" customHeight="1" s="77"/>
    <row r="217" ht="15.75" customHeight="1" s="77"/>
    <row r="218" ht="15.75" customHeight="1" s="77"/>
    <row r="219" ht="15.75" customHeight="1" s="77"/>
    <row r="220" ht="15.75" customHeight="1" s="77"/>
    <row r="221" ht="15.75" customHeight="1" s="77"/>
    <row r="222" ht="15.75" customHeight="1" s="77"/>
    <row r="223" ht="15.75" customHeight="1" s="77"/>
    <row r="224" ht="15.75" customHeight="1" s="77"/>
    <row r="225" ht="15.75" customHeight="1" s="77"/>
    <row r="226" ht="15.75" customHeight="1" s="77"/>
    <row r="227" ht="15.75" customHeight="1" s="77"/>
    <row r="228" ht="15.75" customHeight="1" s="77"/>
    <row r="229" ht="15.75" customHeight="1" s="77"/>
    <row r="230" ht="15.75" customHeight="1" s="77"/>
    <row r="231" ht="15.75" customHeight="1" s="77"/>
    <row r="232" ht="15.75" customHeight="1" s="77"/>
    <row r="233" ht="15.75" customHeight="1" s="77"/>
    <row r="234" ht="15.75" customHeight="1" s="77"/>
    <row r="235" ht="15.75" customHeight="1" s="77"/>
    <row r="236" ht="15.75" customHeight="1" s="77"/>
    <row r="237" ht="15.75" customHeight="1" s="77"/>
    <row r="238" ht="15.75" customHeight="1" s="77"/>
    <row r="239" ht="15.75" customHeight="1" s="77"/>
    <row r="240" ht="15.75" customHeight="1" s="77"/>
    <row r="241" ht="15.75" customHeight="1" s="77"/>
    <row r="242" ht="15.75" customHeight="1" s="77"/>
    <row r="243" ht="15.75" customHeight="1" s="77"/>
    <row r="244" ht="15.75" customHeight="1" s="77"/>
    <row r="245" ht="15.75" customHeight="1" s="77"/>
    <row r="246" ht="15.75" customHeight="1" s="77"/>
    <row r="247" ht="15.75" customHeight="1" s="77"/>
    <row r="248" ht="15.75" customHeight="1" s="77"/>
    <row r="249" ht="15.75" customHeight="1" s="77"/>
    <row r="250" ht="15.75" customHeight="1" s="77"/>
    <row r="251" ht="15.75" customHeight="1" s="77"/>
    <row r="252" ht="15.75" customHeight="1" s="77"/>
    <row r="253" ht="15.75" customHeight="1" s="77"/>
    <row r="254" ht="15.75" customHeight="1" s="77"/>
    <row r="255" ht="15.75" customHeight="1" s="77"/>
    <row r="256" ht="15.75" customHeight="1" s="77"/>
    <row r="257" ht="15.75" customHeight="1" s="77"/>
    <row r="258" ht="15.75" customHeight="1" s="77"/>
    <row r="259" ht="15.75" customHeight="1" s="77"/>
    <row r="260" ht="15.75" customHeight="1" s="77"/>
    <row r="261" ht="15.75" customHeight="1" s="77"/>
    <row r="262" ht="15.75" customHeight="1" s="77"/>
    <row r="263" ht="15.75" customHeight="1" s="77"/>
    <row r="264" ht="15.75" customHeight="1" s="77"/>
    <row r="265" ht="15.75" customHeight="1" s="77"/>
    <row r="266" ht="15.75" customHeight="1" s="77"/>
    <row r="267" ht="15.75" customHeight="1" s="77"/>
    <row r="268" ht="15.75" customHeight="1" s="77"/>
    <row r="269" ht="15.75" customHeight="1" s="77"/>
    <row r="270" ht="15.75" customHeight="1" s="77"/>
    <row r="271" ht="15.75" customHeight="1" s="77"/>
    <row r="272" ht="15.75" customHeight="1" s="77"/>
    <row r="273" ht="15.75" customHeight="1" s="77"/>
    <row r="274" ht="15.75" customHeight="1" s="77"/>
    <row r="275" ht="15.75" customHeight="1" s="77"/>
    <row r="276" ht="15.75" customHeight="1" s="77"/>
    <row r="277" ht="15.75" customHeight="1" s="77"/>
    <row r="278" ht="15.75" customHeight="1" s="77"/>
    <row r="279" ht="15.75" customHeight="1" s="77"/>
    <row r="280" ht="15.75" customHeight="1" s="77"/>
    <row r="281" ht="15.75" customHeight="1" s="77"/>
    <row r="282" ht="15.75" customHeight="1" s="77"/>
    <row r="283" ht="15.75" customHeight="1" s="77"/>
    <row r="284" ht="15.75" customHeight="1" s="77"/>
    <row r="285" ht="15.75" customHeight="1" s="77"/>
    <row r="286" ht="15.75" customHeight="1" s="77"/>
    <row r="287" ht="15.75" customHeight="1" s="77"/>
    <row r="288" ht="15.75" customHeight="1" s="77"/>
    <row r="289" ht="15.75" customHeight="1" s="77"/>
    <row r="290" ht="15.75" customHeight="1" s="77"/>
    <row r="291" ht="15.75" customHeight="1" s="77"/>
    <row r="292" ht="15.75" customHeight="1" s="77"/>
    <row r="293" ht="15.75" customHeight="1" s="77"/>
    <row r="294" ht="15.75" customHeight="1" s="77"/>
    <row r="295" ht="15.75" customHeight="1" s="77"/>
    <row r="296" ht="15.75" customHeight="1" s="77"/>
    <row r="297" ht="15.75" customHeight="1" s="77"/>
    <row r="298" ht="15.75" customHeight="1" s="77"/>
    <row r="299" ht="15.75" customHeight="1" s="77"/>
    <row r="300" ht="15.75" customHeight="1" s="77"/>
    <row r="301" ht="15.75" customHeight="1" s="77"/>
    <row r="302" ht="15.75" customHeight="1" s="77"/>
    <row r="303" ht="15.75" customHeight="1" s="77"/>
    <row r="304" ht="15.75" customHeight="1" s="77"/>
    <row r="305" ht="15.75" customHeight="1" s="77"/>
    <row r="306" ht="15.75" customHeight="1" s="77"/>
    <row r="307" ht="15.75" customHeight="1" s="77"/>
    <row r="308" ht="15.75" customHeight="1" s="77"/>
    <row r="309" ht="15.75" customHeight="1" s="77"/>
    <row r="310" ht="15.75" customHeight="1" s="77"/>
    <row r="311" ht="15.75" customHeight="1" s="77"/>
    <row r="312" ht="15.75" customHeight="1" s="77"/>
    <row r="313" ht="15.75" customHeight="1" s="77"/>
    <row r="314" ht="15.75" customHeight="1" s="77"/>
    <row r="315" ht="15.75" customHeight="1" s="77"/>
    <row r="316" ht="15.75" customHeight="1" s="77"/>
    <row r="317" ht="15.75" customHeight="1" s="77"/>
    <row r="318" ht="15.75" customHeight="1" s="77"/>
    <row r="319" ht="15.75" customHeight="1" s="77"/>
    <row r="320" ht="15.75" customHeight="1" s="77"/>
    <row r="321" ht="15.75" customHeight="1" s="77"/>
    <row r="322" ht="15.75" customHeight="1" s="77"/>
    <row r="323" ht="15.75" customHeight="1" s="77"/>
    <row r="324" ht="15.75" customHeight="1" s="77"/>
    <row r="325" ht="15.75" customHeight="1" s="77"/>
    <row r="326" ht="15.75" customHeight="1" s="77"/>
    <row r="327" ht="15.75" customHeight="1" s="77"/>
    <row r="328" ht="15.75" customHeight="1" s="77"/>
    <row r="329" ht="15.75" customHeight="1" s="77"/>
    <row r="330" ht="15.75" customHeight="1" s="77"/>
    <row r="331" ht="15.75" customHeight="1" s="77"/>
    <row r="332" ht="15.75" customHeight="1" s="77"/>
    <row r="333" ht="15.75" customHeight="1" s="77"/>
    <row r="334" ht="15.75" customHeight="1" s="77"/>
    <row r="335" ht="15.75" customHeight="1" s="77"/>
    <row r="336" ht="15.75" customHeight="1" s="77"/>
    <row r="337" ht="15.75" customHeight="1" s="77"/>
    <row r="338" ht="15.75" customHeight="1" s="77"/>
    <row r="339" ht="15.75" customHeight="1" s="77"/>
    <row r="340" ht="15.75" customHeight="1" s="77"/>
    <row r="341" ht="15.75" customHeight="1" s="77"/>
    <row r="342" ht="15.75" customHeight="1" s="77"/>
    <row r="343" ht="15.75" customHeight="1" s="77"/>
    <row r="344" ht="15.75" customHeight="1" s="77"/>
    <row r="345" ht="15.75" customHeight="1" s="77"/>
    <row r="346" ht="15.75" customHeight="1" s="77"/>
    <row r="347" ht="15.75" customHeight="1" s="77"/>
    <row r="348" ht="15.75" customHeight="1" s="77"/>
    <row r="349" ht="15.75" customHeight="1" s="77"/>
    <row r="350" ht="15.75" customHeight="1" s="77"/>
    <row r="351" ht="15.75" customHeight="1" s="77"/>
    <row r="352" ht="15.75" customHeight="1" s="77"/>
    <row r="353" ht="15.75" customHeight="1" s="77"/>
    <row r="354" ht="15.75" customHeight="1" s="77"/>
    <row r="355" ht="15.75" customHeight="1" s="77"/>
    <row r="356" ht="15.75" customHeight="1" s="77"/>
    <row r="357" ht="15.75" customHeight="1" s="77"/>
    <row r="358" ht="15.75" customHeight="1" s="77"/>
    <row r="359" ht="15.75" customHeight="1" s="77"/>
    <row r="360" ht="15.75" customHeight="1" s="77"/>
    <row r="361" ht="15.75" customHeight="1" s="77"/>
    <row r="362" ht="15.75" customHeight="1" s="77"/>
    <row r="363" ht="15.75" customHeight="1" s="77"/>
    <row r="364" ht="15.75" customHeight="1" s="77"/>
    <row r="365" ht="15.75" customHeight="1" s="77"/>
    <row r="366" ht="15.75" customHeight="1" s="77"/>
    <row r="367" ht="15.75" customHeight="1" s="77"/>
    <row r="368" ht="15.75" customHeight="1" s="77"/>
    <row r="369" ht="15.75" customHeight="1" s="77"/>
    <row r="370" ht="15.75" customHeight="1" s="77"/>
    <row r="371" ht="15.75" customHeight="1" s="77"/>
    <row r="372" ht="15.75" customHeight="1" s="77"/>
    <row r="373" ht="15.75" customHeight="1" s="77"/>
    <row r="374" ht="15.75" customHeight="1" s="77"/>
    <row r="375" ht="15.75" customHeight="1" s="77"/>
    <row r="376" ht="15.75" customHeight="1" s="77"/>
    <row r="377" ht="15.75" customHeight="1" s="77"/>
    <row r="378" ht="15.75" customHeight="1" s="77"/>
    <row r="379" ht="15.75" customHeight="1" s="77"/>
    <row r="380" ht="15.75" customHeight="1" s="77"/>
    <row r="381" ht="15.75" customHeight="1" s="77"/>
    <row r="382" ht="15.75" customHeight="1" s="77"/>
    <row r="383" ht="15.75" customHeight="1" s="77"/>
    <row r="384" ht="15.75" customHeight="1" s="77"/>
    <row r="385" ht="15.75" customHeight="1" s="77"/>
    <row r="386" ht="15.75" customHeight="1" s="77"/>
    <row r="387" ht="15.75" customHeight="1" s="77"/>
    <row r="388" ht="15.75" customHeight="1" s="77"/>
    <row r="389" ht="15.75" customHeight="1" s="77"/>
    <row r="390" ht="15.75" customHeight="1" s="77"/>
    <row r="391" ht="15.75" customHeight="1" s="77"/>
    <row r="392" ht="15.75" customHeight="1" s="77"/>
    <row r="393" ht="15.75" customHeight="1" s="77"/>
    <row r="394" ht="15.75" customHeight="1" s="77"/>
    <row r="395" ht="15.75" customHeight="1" s="77"/>
    <row r="396" ht="15.75" customHeight="1" s="77"/>
    <row r="397" ht="15.75" customHeight="1" s="77"/>
    <row r="398" ht="15.75" customHeight="1" s="77"/>
    <row r="399" ht="15.75" customHeight="1" s="77"/>
    <row r="400" ht="15.75" customHeight="1" s="77"/>
    <row r="401" ht="15.75" customHeight="1" s="77"/>
    <row r="402" ht="15.75" customHeight="1" s="77"/>
    <row r="403" ht="15.75" customHeight="1" s="77"/>
    <row r="404" ht="15.75" customHeight="1" s="77"/>
    <row r="405" ht="15.75" customHeight="1" s="77"/>
    <row r="406" ht="15.75" customHeight="1" s="77"/>
    <row r="407" ht="15.75" customHeight="1" s="77"/>
    <row r="408" ht="15.75" customHeight="1" s="77"/>
    <row r="409" ht="15.75" customHeight="1" s="77"/>
    <row r="410" ht="15.75" customHeight="1" s="77"/>
    <row r="411" ht="15.75" customHeight="1" s="77"/>
    <row r="412" ht="15.75" customHeight="1" s="77"/>
    <row r="413" ht="15.75" customHeight="1" s="77"/>
    <row r="414" ht="15.75" customHeight="1" s="77"/>
    <row r="415" ht="15.75" customHeight="1" s="77"/>
    <row r="416" ht="15.75" customHeight="1" s="77"/>
    <row r="417" ht="15.75" customHeight="1" s="77"/>
    <row r="418" ht="15.75" customHeight="1" s="77"/>
    <row r="419" ht="15.75" customHeight="1" s="77"/>
    <row r="420" ht="15.75" customHeight="1" s="77"/>
    <row r="421" ht="15.75" customHeight="1" s="77"/>
    <row r="422" ht="15.75" customHeight="1" s="77"/>
    <row r="423" ht="15.75" customHeight="1" s="77"/>
    <row r="424" ht="15.75" customHeight="1" s="77"/>
    <row r="425" ht="15.75" customHeight="1" s="77"/>
    <row r="426" ht="15.75" customHeight="1" s="77"/>
    <row r="427" ht="15.75" customHeight="1" s="77"/>
    <row r="428" ht="15.75" customHeight="1" s="77"/>
    <row r="429" ht="15.75" customHeight="1" s="77"/>
    <row r="430" ht="15.75" customHeight="1" s="77"/>
    <row r="431" ht="15.75" customHeight="1" s="77"/>
    <row r="432" ht="15.75" customHeight="1" s="77"/>
    <row r="433" ht="15.75" customHeight="1" s="77"/>
    <row r="434" ht="15.75" customHeight="1" s="77"/>
    <row r="435" ht="15.75" customHeight="1" s="77"/>
    <row r="436" ht="15.75" customHeight="1" s="77"/>
    <row r="437" ht="15.75" customHeight="1" s="77"/>
    <row r="438" ht="15.75" customHeight="1" s="77"/>
    <row r="439" ht="15.75" customHeight="1" s="77"/>
    <row r="440" ht="15.75" customHeight="1" s="77"/>
    <row r="441" ht="15.75" customHeight="1" s="77"/>
    <row r="442" ht="15.75" customHeight="1" s="77"/>
    <row r="443" ht="15.75" customHeight="1" s="77"/>
    <row r="444" ht="15.75" customHeight="1" s="77"/>
    <row r="445" ht="15.75" customHeight="1" s="77"/>
    <row r="446" ht="15.75" customHeight="1" s="77"/>
    <row r="447" ht="15.75" customHeight="1" s="77"/>
    <row r="448" ht="15.75" customHeight="1" s="77"/>
    <row r="449" ht="15.75" customHeight="1" s="77"/>
    <row r="450" ht="15.75" customHeight="1" s="77"/>
    <row r="451" ht="15.75" customHeight="1" s="77"/>
    <row r="452" ht="15.75" customHeight="1" s="77"/>
    <row r="453" ht="15.75" customHeight="1" s="77"/>
    <row r="454" ht="15.75" customHeight="1" s="77"/>
    <row r="455" ht="15.75" customHeight="1" s="77"/>
    <row r="456" ht="15.75" customHeight="1" s="77"/>
    <row r="457" ht="15.75" customHeight="1" s="77"/>
    <row r="458" ht="15.75" customHeight="1" s="77"/>
    <row r="459" ht="15.75" customHeight="1" s="77"/>
    <row r="460" ht="15.75" customHeight="1" s="77"/>
    <row r="461" ht="15.75" customHeight="1" s="77"/>
    <row r="462" ht="15.75" customHeight="1" s="77"/>
    <row r="463" ht="15.75" customHeight="1" s="77"/>
    <row r="464" ht="15.75" customHeight="1" s="77"/>
    <row r="465" ht="15.75" customHeight="1" s="77"/>
    <row r="466" ht="15.75" customHeight="1" s="77"/>
    <row r="467" ht="15.75" customHeight="1" s="77"/>
    <row r="468" ht="15.75" customHeight="1" s="77"/>
    <row r="469" ht="15.75" customHeight="1" s="77"/>
    <row r="470" ht="15.75" customHeight="1" s="77"/>
    <row r="471" ht="15.75" customHeight="1" s="77"/>
    <row r="472" ht="15.75" customHeight="1" s="77"/>
    <row r="473" ht="15.75" customHeight="1" s="77"/>
    <row r="474" ht="15.75" customHeight="1" s="77"/>
    <row r="475" ht="15.75" customHeight="1" s="77"/>
    <row r="476" ht="15.75" customHeight="1" s="77"/>
    <row r="477" ht="15.75" customHeight="1" s="77"/>
    <row r="478" ht="15.75" customHeight="1" s="77"/>
    <row r="479" ht="15.75" customHeight="1" s="77"/>
    <row r="480" ht="15.75" customHeight="1" s="77"/>
    <row r="481" ht="15.75" customHeight="1" s="77"/>
    <row r="482" ht="15.75" customHeight="1" s="77"/>
    <row r="483" ht="15.75" customHeight="1" s="77"/>
    <row r="484" ht="15.75" customHeight="1" s="77"/>
    <row r="485" ht="15.75" customHeight="1" s="77"/>
    <row r="486" ht="15.75" customHeight="1" s="77"/>
    <row r="487" ht="15.75" customHeight="1" s="77"/>
    <row r="488" ht="15.75" customHeight="1" s="77"/>
    <row r="489" ht="15.75" customHeight="1" s="77"/>
    <row r="490" ht="15.75" customHeight="1" s="77"/>
    <row r="491" ht="15.75" customHeight="1" s="77"/>
    <row r="492" ht="15.75" customHeight="1" s="77"/>
    <row r="493" ht="15.75" customHeight="1" s="77"/>
    <row r="494" ht="15.75" customHeight="1" s="77"/>
    <row r="495" ht="15.75" customHeight="1" s="77"/>
    <row r="496" ht="15.75" customHeight="1" s="77"/>
    <row r="497" ht="15.75" customHeight="1" s="77"/>
    <row r="498" ht="15.75" customHeight="1" s="77"/>
    <row r="499" ht="15.75" customHeight="1" s="77"/>
    <row r="500" ht="15.75" customHeight="1" s="77"/>
    <row r="501" ht="15.75" customHeight="1" s="77"/>
    <row r="502" ht="15.75" customHeight="1" s="77"/>
    <row r="503" ht="15.75" customHeight="1" s="77"/>
    <row r="504" ht="15.75" customHeight="1" s="77"/>
    <row r="505" ht="15.75" customHeight="1" s="77"/>
    <row r="506" ht="15.75" customHeight="1" s="77"/>
    <row r="507" ht="15.75" customHeight="1" s="77"/>
    <row r="508" ht="15.75" customHeight="1" s="77"/>
    <row r="509" ht="15.75" customHeight="1" s="77"/>
    <row r="510" ht="15.75" customHeight="1" s="77"/>
    <row r="511" ht="15.75" customHeight="1" s="77"/>
    <row r="512" ht="15.75" customHeight="1" s="77"/>
    <row r="513" ht="15.75" customHeight="1" s="77"/>
    <row r="514" ht="15.75" customHeight="1" s="77"/>
    <row r="515" ht="15.75" customHeight="1" s="77"/>
    <row r="516" ht="15.75" customHeight="1" s="77"/>
    <row r="517" ht="15.75" customHeight="1" s="77"/>
    <row r="518" ht="15.75" customHeight="1" s="77"/>
    <row r="519" ht="15.75" customHeight="1" s="77"/>
    <row r="520" ht="15.75" customHeight="1" s="77"/>
    <row r="521" ht="15.75" customHeight="1" s="77"/>
    <row r="522" ht="15.75" customHeight="1" s="77"/>
    <row r="523" ht="15.75" customHeight="1" s="77"/>
    <row r="524" ht="15.75" customHeight="1" s="77"/>
    <row r="525" ht="15.75" customHeight="1" s="77"/>
    <row r="526" ht="15.75" customHeight="1" s="77"/>
    <row r="527" ht="15.75" customHeight="1" s="77"/>
    <row r="528" ht="15.75" customHeight="1" s="77"/>
    <row r="529" ht="15.75" customHeight="1" s="77"/>
    <row r="530" ht="15.75" customHeight="1" s="77"/>
    <row r="531" ht="15.75" customHeight="1" s="77"/>
    <row r="532" ht="15.75" customHeight="1" s="77"/>
    <row r="533" ht="15.75" customHeight="1" s="77"/>
    <row r="534" ht="15.75" customHeight="1" s="77"/>
    <row r="535" ht="15.75" customHeight="1" s="77"/>
    <row r="536" ht="15.75" customHeight="1" s="77"/>
    <row r="537" ht="15.75" customHeight="1" s="77"/>
    <row r="538" ht="15.75" customHeight="1" s="77"/>
    <row r="539" ht="15.75" customHeight="1" s="77"/>
    <row r="540" ht="15.75" customHeight="1" s="77"/>
    <row r="541" ht="15.75" customHeight="1" s="77"/>
    <row r="542" ht="15.75" customHeight="1" s="77"/>
    <row r="543" ht="15.75" customHeight="1" s="77"/>
    <row r="544" ht="15.75" customHeight="1" s="77"/>
    <row r="545" ht="15.75" customHeight="1" s="77"/>
    <row r="546" ht="15.75" customHeight="1" s="77"/>
    <row r="547" ht="15.75" customHeight="1" s="77"/>
    <row r="548" ht="15.75" customHeight="1" s="77"/>
    <row r="549" ht="15.75" customHeight="1" s="77"/>
    <row r="550" ht="15.75" customHeight="1" s="77"/>
    <row r="551" ht="15.75" customHeight="1" s="77"/>
    <row r="552" ht="15.75" customHeight="1" s="77"/>
    <row r="553" ht="15.75" customHeight="1" s="77"/>
    <row r="554" ht="15.75" customHeight="1" s="77"/>
    <row r="555" ht="15.75" customHeight="1" s="77"/>
    <row r="556" ht="15.75" customHeight="1" s="77"/>
    <row r="557" ht="15.75" customHeight="1" s="77"/>
    <row r="558" ht="15.75" customHeight="1" s="77"/>
    <row r="559" ht="15.75" customHeight="1" s="77"/>
    <row r="560" ht="15.75" customHeight="1" s="77"/>
    <row r="561" ht="15.75" customHeight="1" s="77"/>
    <row r="562" ht="15.75" customHeight="1" s="77"/>
    <row r="563" ht="15.75" customHeight="1" s="77"/>
    <row r="564" ht="15.75" customHeight="1" s="77"/>
    <row r="565" ht="15.75" customHeight="1" s="77"/>
    <row r="566" ht="15.75" customHeight="1" s="77"/>
    <row r="567" ht="15.75" customHeight="1" s="77"/>
    <row r="568" ht="15.75" customHeight="1" s="77"/>
    <row r="569" ht="15.75" customHeight="1" s="77"/>
    <row r="570" ht="15.75" customHeight="1" s="77"/>
    <row r="571" ht="15.75" customHeight="1" s="77"/>
    <row r="572" ht="15.75" customHeight="1" s="77"/>
    <row r="573" ht="15.75" customHeight="1" s="77"/>
    <row r="574" ht="15.75" customHeight="1" s="77"/>
    <row r="575" ht="15.75" customHeight="1" s="77"/>
    <row r="576" ht="15.75" customHeight="1" s="77"/>
    <row r="577" ht="15.75" customHeight="1" s="77"/>
    <row r="578" ht="15.75" customHeight="1" s="77"/>
    <row r="579" ht="15.75" customHeight="1" s="77"/>
    <row r="580" ht="15.75" customHeight="1" s="77"/>
    <row r="581" ht="15.75" customHeight="1" s="77"/>
    <row r="582" ht="15.75" customHeight="1" s="77"/>
    <row r="583" ht="15.75" customHeight="1" s="77"/>
    <row r="584" ht="15.75" customHeight="1" s="77"/>
    <row r="585" ht="15.75" customHeight="1" s="77"/>
    <row r="586" ht="15.75" customHeight="1" s="77"/>
    <row r="587" ht="15.75" customHeight="1" s="77"/>
    <row r="588" ht="15.75" customHeight="1" s="77"/>
    <row r="589" ht="15.75" customHeight="1" s="77"/>
    <row r="590" ht="15.75" customHeight="1" s="77"/>
    <row r="591" ht="15.75" customHeight="1" s="77"/>
    <row r="592" ht="15.75" customHeight="1" s="77"/>
    <row r="593" ht="15.75" customHeight="1" s="77"/>
    <row r="594" ht="15.75" customHeight="1" s="77"/>
    <row r="595" ht="15.75" customHeight="1" s="77"/>
    <row r="596" ht="15.75" customHeight="1" s="77"/>
    <row r="597" ht="15.75" customHeight="1" s="77"/>
    <row r="598" ht="15.75" customHeight="1" s="77"/>
    <row r="599" ht="15.75" customHeight="1" s="77"/>
    <row r="600" ht="15.75" customHeight="1" s="77"/>
    <row r="601" ht="15.75" customHeight="1" s="77"/>
    <row r="602" ht="15.75" customHeight="1" s="77"/>
    <row r="603" ht="15.75" customHeight="1" s="77"/>
    <row r="604" ht="15.75" customHeight="1" s="77"/>
    <row r="605" ht="15.75" customHeight="1" s="77"/>
    <row r="606" ht="15.75" customHeight="1" s="77"/>
    <row r="607" ht="15.75" customHeight="1" s="77"/>
    <row r="608" ht="15.75" customHeight="1" s="77"/>
    <row r="609" ht="15.75" customHeight="1" s="77"/>
    <row r="610" ht="15.75" customHeight="1" s="77"/>
    <row r="611" ht="15.75" customHeight="1" s="77"/>
    <row r="612" ht="15.75" customHeight="1" s="77"/>
    <row r="613" ht="15.75" customHeight="1" s="77"/>
    <row r="614" ht="15.75" customHeight="1" s="77"/>
    <row r="615" ht="15.75" customHeight="1" s="77"/>
    <row r="616" ht="15.75" customHeight="1" s="77"/>
    <row r="617" ht="15.75" customHeight="1" s="77"/>
    <row r="618" ht="15.75" customHeight="1" s="77"/>
    <row r="619" ht="15.75" customHeight="1" s="77"/>
    <row r="620" ht="15.75" customHeight="1" s="77"/>
    <row r="621" ht="15.75" customHeight="1" s="77"/>
    <row r="622" ht="15.75" customHeight="1" s="77"/>
    <row r="623" ht="15.75" customHeight="1" s="77"/>
    <row r="624" ht="15.75" customHeight="1" s="77"/>
    <row r="625" ht="15.75" customHeight="1" s="77"/>
    <row r="626" ht="15.75" customHeight="1" s="77"/>
    <row r="627" ht="15.75" customHeight="1" s="77"/>
    <row r="628" ht="15.75" customHeight="1" s="77"/>
    <row r="629" ht="15.75" customHeight="1" s="77"/>
    <row r="630" ht="15.75" customHeight="1" s="77"/>
    <row r="631" ht="15.75" customHeight="1" s="77"/>
    <row r="632" ht="15.75" customHeight="1" s="77"/>
    <row r="633" ht="15.75" customHeight="1" s="77"/>
    <row r="634" ht="15.75" customHeight="1" s="77"/>
    <row r="635" ht="15.75" customHeight="1" s="77"/>
    <row r="636" ht="15.75" customHeight="1" s="77"/>
    <row r="637" ht="15.75" customHeight="1" s="77"/>
    <row r="638" ht="15.75" customHeight="1" s="77"/>
    <row r="639" ht="15.75" customHeight="1" s="77"/>
    <row r="640" ht="15.75" customHeight="1" s="77"/>
    <row r="641" ht="15.75" customHeight="1" s="77"/>
    <row r="642" ht="15.75" customHeight="1" s="77"/>
    <row r="643" ht="15.75" customHeight="1" s="77"/>
    <row r="644" ht="15.75" customHeight="1" s="77"/>
    <row r="645" ht="15.75" customHeight="1" s="77"/>
    <row r="646" ht="15.75" customHeight="1" s="77"/>
    <row r="647" ht="15.75" customHeight="1" s="77"/>
    <row r="648" ht="15.75" customHeight="1" s="77"/>
    <row r="649" ht="15.75" customHeight="1" s="77"/>
    <row r="650" ht="15.75" customHeight="1" s="77"/>
    <row r="651" ht="15.75" customHeight="1" s="77"/>
    <row r="652" ht="15.75" customHeight="1" s="77"/>
    <row r="653" ht="15.75" customHeight="1" s="77"/>
    <row r="654" ht="15.75" customHeight="1" s="77"/>
    <row r="655" ht="15.75" customHeight="1" s="77"/>
    <row r="656" ht="15.75" customHeight="1" s="77"/>
    <row r="657" ht="15.75" customHeight="1" s="77"/>
    <row r="658" ht="15.75" customHeight="1" s="77"/>
    <row r="659" ht="15.75" customHeight="1" s="77"/>
    <row r="660" ht="15.75" customHeight="1" s="77"/>
    <row r="661" ht="15.75" customHeight="1" s="77"/>
    <row r="662" ht="15.75" customHeight="1" s="77"/>
    <row r="663" ht="15.75" customHeight="1" s="77"/>
    <row r="664" ht="15.75" customHeight="1" s="77"/>
    <row r="665" ht="15.75" customHeight="1" s="77"/>
    <row r="666" ht="15.75" customHeight="1" s="77"/>
    <row r="667" ht="15.75" customHeight="1" s="77"/>
    <row r="668" ht="15.75" customHeight="1" s="77"/>
    <row r="669" ht="15.75" customHeight="1" s="77"/>
    <row r="670" ht="15.75" customHeight="1" s="77"/>
    <row r="671" ht="15.75" customHeight="1" s="77"/>
    <row r="672" ht="15.75" customHeight="1" s="77"/>
    <row r="673" ht="15.75" customHeight="1" s="77"/>
    <row r="674" ht="15.75" customHeight="1" s="77"/>
    <row r="675" ht="15.75" customHeight="1" s="77"/>
    <row r="676" ht="15.75" customHeight="1" s="77"/>
    <row r="677" ht="15.75" customHeight="1" s="77"/>
    <row r="678" ht="15.75" customHeight="1" s="77"/>
    <row r="679" ht="15.75" customHeight="1" s="77"/>
    <row r="680" ht="15.75" customHeight="1" s="77"/>
    <row r="681" ht="15.75" customHeight="1" s="77"/>
    <row r="682" ht="15.75" customHeight="1" s="77"/>
    <row r="683" ht="15.75" customHeight="1" s="77"/>
    <row r="684" ht="15.75" customHeight="1" s="77"/>
    <row r="685" ht="15.75" customHeight="1" s="77"/>
    <row r="686" ht="15.75" customHeight="1" s="77"/>
    <row r="687" ht="15.75" customHeight="1" s="77"/>
    <row r="688" ht="15.75" customHeight="1" s="77"/>
    <row r="689" ht="15.75" customHeight="1" s="77"/>
    <row r="690" ht="15.75" customHeight="1" s="77"/>
    <row r="691" ht="15.75" customHeight="1" s="77"/>
    <row r="692" ht="15.75" customHeight="1" s="77"/>
    <row r="693" ht="15.75" customHeight="1" s="77"/>
    <row r="694" ht="15.75" customHeight="1" s="77"/>
    <row r="695" ht="15.75" customHeight="1" s="77"/>
    <row r="696" ht="15.75" customHeight="1" s="77"/>
    <row r="697" ht="15.75" customHeight="1" s="77"/>
    <row r="698" ht="15.75" customHeight="1" s="77"/>
    <row r="699" ht="15.75" customHeight="1" s="77"/>
    <row r="700" ht="15.75" customHeight="1" s="77"/>
    <row r="701" ht="15.75" customHeight="1" s="77"/>
    <row r="702" ht="15.75" customHeight="1" s="77"/>
    <row r="703" ht="15.75" customHeight="1" s="77"/>
    <row r="704" ht="15.75" customHeight="1" s="77"/>
    <row r="705" ht="15.75" customHeight="1" s="77"/>
    <row r="706" ht="15.75" customHeight="1" s="77"/>
    <row r="707" ht="15.75" customHeight="1" s="77"/>
    <row r="708" ht="15.75" customHeight="1" s="77"/>
    <row r="709" ht="15.75" customHeight="1" s="77"/>
    <row r="710" ht="15.75" customHeight="1" s="77"/>
    <row r="711" ht="15.75" customHeight="1" s="77"/>
    <row r="712" ht="15.75" customHeight="1" s="77"/>
    <row r="713" ht="15.75" customHeight="1" s="77"/>
    <row r="714" ht="15.75" customHeight="1" s="77"/>
    <row r="715" ht="15.75" customHeight="1" s="77"/>
    <row r="716" ht="15.75" customHeight="1" s="77"/>
    <row r="717" ht="15.75" customHeight="1" s="77"/>
    <row r="718" ht="15.75" customHeight="1" s="77"/>
    <row r="719" ht="15.75" customHeight="1" s="77"/>
    <row r="720" ht="15.75" customHeight="1" s="77"/>
    <row r="721" ht="15.75" customHeight="1" s="77"/>
    <row r="722" ht="15.75" customHeight="1" s="77"/>
    <row r="723" ht="15.75" customHeight="1" s="77"/>
    <row r="724" ht="15.75" customHeight="1" s="77"/>
    <row r="725" ht="15.75" customHeight="1" s="77"/>
    <row r="726" ht="15.75" customHeight="1" s="77"/>
    <row r="727" ht="15.75" customHeight="1" s="77"/>
    <row r="728" ht="15.75" customHeight="1" s="77"/>
    <row r="729" ht="15.75" customHeight="1" s="77"/>
    <row r="730" ht="15.75" customHeight="1" s="77"/>
    <row r="731" ht="15.75" customHeight="1" s="77"/>
    <row r="732" ht="15.75" customHeight="1" s="77"/>
    <row r="733" ht="15.75" customHeight="1" s="77"/>
    <row r="734" ht="15.75" customHeight="1" s="77"/>
    <row r="735" ht="15.75" customHeight="1" s="77"/>
    <row r="736" ht="15.75" customHeight="1" s="77"/>
    <row r="737" ht="15.75" customHeight="1" s="77"/>
    <row r="738" ht="15.75" customHeight="1" s="77"/>
    <row r="739" ht="15.75" customHeight="1" s="77"/>
    <row r="740" ht="15.75" customHeight="1" s="77"/>
    <row r="741" ht="15.75" customHeight="1" s="77"/>
    <row r="742" ht="15.75" customHeight="1" s="77"/>
    <row r="743" ht="15.75" customHeight="1" s="77"/>
    <row r="744" ht="15.75" customHeight="1" s="77"/>
    <row r="745" ht="15.75" customHeight="1" s="77"/>
    <row r="746" ht="15.75" customHeight="1" s="77"/>
    <row r="747" ht="15.75" customHeight="1" s="77"/>
    <row r="748" ht="15.75" customHeight="1" s="77"/>
    <row r="749" ht="15.75" customHeight="1" s="77"/>
    <row r="750" ht="15.75" customHeight="1" s="77"/>
    <row r="751" ht="15.75" customHeight="1" s="77"/>
    <row r="752" ht="15.75" customHeight="1" s="77"/>
    <row r="753" ht="15.75" customHeight="1" s="77"/>
    <row r="754" ht="15.75" customHeight="1" s="77"/>
    <row r="755" ht="15.75" customHeight="1" s="77"/>
    <row r="756" ht="15.75" customHeight="1" s="77"/>
    <row r="757" ht="15.75" customHeight="1" s="77"/>
    <row r="758" ht="15.75" customHeight="1" s="77"/>
    <row r="759" ht="15.75" customHeight="1" s="77"/>
    <row r="760" ht="15.75" customHeight="1" s="77"/>
    <row r="761" ht="15.75" customHeight="1" s="77"/>
    <row r="762" ht="15.75" customHeight="1" s="77"/>
    <row r="763" ht="15.75" customHeight="1" s="77"/>
    <row r="764" ht="15.75" customHeight="1" s="77"/>
    <row r="765" ht="15.75" customHeight="1" s="77"/>
    <row r="766" ht="15.75" customHeight="1" s="77"/>
    <row r="767" ht="15.75" customHeight="1" s="77"/>
    <row r="768" ht="15.75" customHeight="1" s="77"/>
    <row r="769" ht="15.75" customHeight="1" s="77"/>
    <row r="770" ht="15.75" customHeight="1" s="77"/>
    <row r="771" ht="15.75" customHeight="1" s="77"/>
    <row r="772" ht="15.75" customHeight="1" s="77"/>
    <row r="773" ht="15.75" customHeight="1" s="77"/>
    <row r="774" ht="15.75" customHeight="1" s="77"/>
    <row r="775" ht="15.75" customHeight="1" s="77"/>
    <row r="776" ht="15.75" customHeight="1" s="77"/>
    <row r="777" ht="15.75" customHeight="1" s="77"/>
    <row r="778" ht="15.75" customHeight="1" s="77"/>
    <row r="779" ht="15.75" customHeight="1" s="77"/>
    <row r="780" ht="15.75" customHeight="1" s="77"/>
    <row r="781" ht="15.75" customHeight="1" s="77"/>
    <row r="782" ht="15.75" customHeight="1" s="77"/>
    <row r="783" ht="15.75" customHeight="1" s="77"/>
    <row r="784" ht="15.75" customHeight="1" s="77"/>
    <row r="785" ht="15.75" customHeight="1" s="77"/>
    <row r="786" ht="15.75" customHeight="1" s="77"/>
    <row r="787" ht="15.75" customHeight="1" s="77"/>
    <row r="788" ht="15.75" customHeight="1" s="77"/>
    <row r="789" ht="15.75" customHeight="1" s="77"/>
    <row r="790" ht="15.75" customHeight="1" s="77"/>
    <row r="791" ht="15.75" customHeight="1" s="77"/>
    <row r="792" ht="15.75" customHeight="1" s="77"/>
    <row r="793" ht="15.75" customHeight="1" s="77"/>
    <row r="794" ht="15.75" customHeight="1" s="77"/>
    <row r="795" ht="15.75" customHeight="1" s="77"/>
    <row r="796" ht="15.75" customHeight="1" s="77"/>
    <row r="797" ht="15.75" customHeight="1" s="77"/>
    <row r="798" ht="15.75" customHeight="1" s="77"/>
    <row r="799" ht="15.75" customHeight="1" s="77"/>
    <row r="800" ht="15.75" customHeight="1" s="77"/>
    <row r="801" ht="15.75" customHeight="1" s="77"/>
    <row r="802" ht="15.75" customHeight="1" s="77"/>
    <row r="803" ht="15.75" customHeight="1" s="77"/>
    <row r="804" ht="15.75" customHeight="1" s="77"/>
    <row r="805" ht="15.75" customHeight="1" s="77"/>
    <row r="806" ht="15.75" customHeight="1" s="77"/>
    <row r="807" ht="15.75" customHeight="1" s="77"/>
    <row r="808" ht="15.75" customHeight="1" s="77"/>
    <row r="809" ht="15.75" customHeight="1" s="77"/>
    <row r="810" ht="15.75" customHeight="1" s="77"/>
    <row r="811" ht="15.75" customHeight="1" s="77"/>
    <row r="812" ht="15.75" customHeight="1" s="77"/>
    <row r="813" ht="15.75" customHeight="1" s="77"/>
    <row r="814" ht="15.75" customHeight="1" s="77"/>
    <row r="815" ht="15.75" customHeight="1" s="77"/>
    <row r="816" ht="15.75" customHeight="1" s="77"/>
    <row r="817" ht="15.75" customHeight="1" s="77"/>
    <row r="818" ht="15.75" customHeight="1" s="77"/>
    <row r="819" ht="15.75" customHeight="1" s="77"/>
    <row r="820" ht="15.75" customHeight="1" s="77"/>
    <row r="821" ht="15.75" customHeight="1" s="77"/>
    <row r="822" ht="15.75" customHeight="1" s="77"/>
    <row r="823" ht="15.75" customHeight="1" s="77"/>
    <row r="824" ht="15.75" customHeight="1" s="77"/>
    <row r="825" ht="15.75" customHeight="1" s="77"/>
    <row r="826" ht="15.75" customHeight="1" s="77"/>
    <row r="827" ht="15.75" customHeight="1" s="77"/>
    <row r="828" ht="15.75" customHeight="1" s="77"/>
    <row r="829" ht="15.75" customHeight="1" s="77"/>
    <row r="830" ht="15.75" customHeight="1" s="77"/>
    <row r="831" ht="15.75" customHeight="1" s="77"/>
    <row r="832" ht="15.75" customHeight="1" s="77"/>
    <row r="833" ht="15.75" customHeight="1" s="77"/>
    <row r="834" ht="15.75" customHeight="1" s="77"/>
    <row r="835" ht="15.75" customHeight="1" s="77"/>
    <row r="836" ht="15.75" customHeight="1" s="77"/>
    <row r="837" ht="15.75" customHeight="1" s="77"/>
    <row r="838" ht="15.75" customHeight="1" s="77"/>
    <row r="839" ht="15.75" customHeight="1" s="77"/>
    <row r="840" ht="15.75" customHeight="1" s="77"/>
    <row r="841" ht="15.75" customHeight="1" s="77"/>
    <row r="842" ht="15.75" customHeight="1" s="77"/>
    <row r="843" ht="15.75" customHeight="1" s="77"/>
    <row r="844" ht="15.75" customHeight="1" s="77"/>
    <row r="845" ht="15.75" customHeight="1" s="77"/>
    <row r="846" ht="15.75" customHeight="1" s="77"/>
    <row r="847" ht="15.75" customHeight="1" s="77"/>
    <row r="848" ht="15.75" customHeight="1" s="77"/>
    <row r="849" ht="15.75" customHeight="1" s="77"/>
    <row r="850" ht="15.75" customHeight="1" s="77"/>
    <row r="851" ht="15.75" customHeight="1" s="77"/>
    <row r="852" ht="15.75" customHeight="1" s="77"/>
    <row r="853" ht="15.75" customHeight="1" s="77"/>
    <row r="854" ht="15.75" customHeight="1" s="77"/>
    <row r="855" ht="15.75" customHeight="1" s="77"/>
    <row r="856" ht="15.75" customHeight="1" s="77"/>
    <row r="857" ht="15.75" customHeight="1" s="77"/>
    <row r="858" ht="15.75" customHeight="1" s="77"/>
    <row r="859" ht="15.75" customHeight="1" s="77"/>
    <row r="860" ht="15.75" customHeight="1" s="77"/>
    <row r="861" ht="15.75" customHeight="1" s="77"/>
    <row r="862" ht="15.75" customHeight="1" s="77"/>
    <row r="863" ht="15.75" customHeight="1" s="77"/>
    <row r="864" ht="15.75" customHeight="1" s="77"/>
    <row r="865" ht="15.75" customHeight="1" s="77"/>
    <row r="866" ht="15.75" customHeight="1" s="77"/>
    <row r="867" ht="15.75" customHeight="1" s="77"/>
    <row r="868" ht="15.75" customHeight="1" s="77"/>
    <row r="869" ht="15.75" customHeight="1" s="77"/>
    <row r="870" ht="15.75" customHeight="1" s="77"/>
    <row r="871" ht="15.75" customHeight="1" s="77"/>
    <row r="872" ht="15.75" customHeight="1" s="77"/>
    <row r="873" ht="15.75" customHeight="1" s="77"/>
    <row r="874" ht="15.75" customHeight="1" s="77"/>
    <row r="875" ht="15.75" customHeight="1" s="77"/>
    <row r="876" ht="15.75" customHeight="1" s="77"/>
    <row r="877" ht="15.75" customHeight="1" s="77"/>
    <row r="878" ht="15.75" customHeight="1" s="77"/>
    <row r="879" ht="15.75" customHeight="1" s="77"/>
    <row r="880" ht="15.75" customHeight="1" s="77"/>
    <row r="881" ht="15.75" customHeight="1" s="77"/>
    <row r="882" ht="15.75" customHeight="1" s="77"/>
    <row r="883" ht="15.75" customHeight="1" s="77"/>
    <row r="884" ht="15.75" customHeight="1" s="77"/>
    <row r="885" ht="15.75" customHeight="1" s="77"/>
    <row r="886" ht="15.75" customHeight="1" s="77"/>
    <row r="887" ht="15.75" customHeight="1" s="77"/>
    <row r="888" ht="15.75" customHeight="1" s="77"/>
    <row r="889" ht="15.75" customHeight="1" s="77"/>
    <row r="890" ht="15.75" customHeight="1" s="77"/>
    <row r="891" ht="15.75" customHeight="1" s="77"/>
    <row r="892" ht="15.75" customHeight="1" s="77"/>
    <row r="893" ht="15.75" customHeight="1" s="77"/>
    <row r="894" ht="15.75" customHeight="1" s="77"/>
    <row r="895" ht="15.75" customHeight="1" s="77"/>
    <row r="896" ht="15.75" customHeight="1" s="77"/>
    <row r="897" ht="15.75" customHeight="1" s="77"/>
    <row r="898" ht="15.75" customHeight="1" s="77"/>
    <row r="899" ht="15.75" customHeight="1" s="77"/>
    <row r="900" ht="15.75" customHeight="1" s="77"/>
    <row r="901" ht="15.75" customHeight="1" s="77"/>
    <row r="902" ht="15.75" customHeight="1" s="77"/>
    <row r="903" ht="15.75" customHeight="1" s="77"/>
    <row r="904" ht="15.75" customHeight="1" s="77"/>
    <row r="905" ht="15.75" customHeight="1" s="77"/>
    <row r="906" ht="15.75" customHeight="1" s="77"/>
    <row r="907" ht="15.75" customHeight="1" s="77"/>
    <row r="908" ht="15.75" customHeight="1" s="77"/>
    <row r="909" ht="15.75" customHeight="1" s="77"/>
    <row r="910" ht="15.75" customHeight="1" s="77"/>
    <row r="911" ht="15.75" customHeight="1" s="77"/>
    <row r="912" ht="15.75" customHeight="1" s="77"/>
    <row r="913" ht="15.75" customHeight="1" s="77"/>
    <row r="914" ht="15.75" customHeight="1" s="77"/>
    <row r="915" ht="15.75" customHeight="1" s="77"/>
    <row r="916" ht="15.75" customHeight="1" s="77"/>
    <row r="917" ht="15.75" customHeight="1" s="77"/>
    <row r="918" ht="15.75" customHeight="1" s="77"/>
    <row r="919" ht="15.75" customHeight="1" s="77"/>
    <row r="920" ht="15.75" customHeight="1" s="77"/>
    <row r="921" ht="15.75" customHeight="1" s="77"/>
    <row r="922" ht="15.75" customHeight="1" s="77"/>
    <row r="923" ht="15.75" customHeight="1" s="77"/>
    <row r="924" ht="15.75" customHeight="1" s="77"/>
    <row r="925" ht="15.75" customHeight="1" s="77"/>
    <row r="926" ht="15.75" customHeight="1" s="77"/>
    <row r="927" ht="15.75" customHeight="1" s="77"/>
    <row r="928" ht="15.75" customHeight="1" s="77"/>
    <row r="929" ht="15.75" customHeight="1" s="77"/>
    <row r="930" ht="15.75" customHeight="1" s="77"/>
    <row r="931" ht="15.75" customHeight="1" s="77"/>
    <row r="932" ht="15.75" customHeight="1" s="77"/>
    <row r="933" ht="15.75" customHeight="1" s="77"/>
    <row r="934" ht="15.75" customHeight="1" s="77"/>
    <row r="935" ht="15.75" customHeight="1" s="77"/>
    <row r="936" ht="15.75" customHeight="1" s="77"/>
    <row r="937" ht="15.75" customHeight="1" s="77"/>
    <row r="938" ht="15.75" customHeight="1" s="77"/>
    <row r="939" ht="15.75" customHeight="1" s="77"/>
    <row r="940" ht="15.75" customHeight="1" s="77"/>
    <row r="941" ht="15.75" customHeight="1" s="77"/>
    <row r="942" ht="15.75" customHeight="1" s="77"/>
    <row r="943" ht="15.75" customHeight="1" s="77"/>
    <row r="944" ht="15.75" customHeight="1" s="77"/>
    <row r="945" ht="15.75" customHeight="1" s="77"/>
    <row r="946" ht="15.75" customHeight="1" s="77"/>
    <row r="947" ht="15.75" customHeight="1" s="77"/>
    <row r="948" ht="15.75" customHeight="1" s="77"/>
    <row r="949" ht="15.75" customHeight="1" s="77"/>
    <row r="950" ht="15.75" customHeight="1" s="77"/>
    <row r="951" ht="15.75" customHeight="1" s="77"/>
    <row r="952" ht="15.75" customHeight="1" s="77"/>
    <row r="953" ht="15.75" customHeight="1" s="77"/>
    <row r="954" ht="15.75" customHeight="1" s="77"/>
    <row r="955" ht="15.75" customHeight="1" s="77"/>
    <row r="956" ht="15.75" customHeight="1" s="77"/>
    <row r="957" ht="15.75" customHeight="1" s="77"/>
    <row r="958" ht="15.75" customHeight="1" s="77"/>
    <row r="959" ht="15.75" customHeight="1" s="77"/>
    <row r="960" ht="15.75" customHeight="1" s="77"/>
    <row r="961" ht="15.75" customHeight="1" s="77"/>
    <row r="962" ht="15.75" customHeight="1" s="77"/>
    <row r="963" ht="15.75" customHeight="1" s="77"/>
    <row r="964" ht="15.75" customHeight="1" s="77"/>
    <row r="965" ht="15.75" customHeight="1" s="77"/>
    <row r="966" ht="15.75" customHeight="1" s="77"/>
    <row r="967" ht="15.75" customHeight="1" s="77"/>
    <row r="968" ht="15.75" customHeight="1" s="77"/>
    <row r="969" ht="15.75" customHeight="1" s="77"/>
    <row r="970" ht="15.75" customHeight="1" s="77"/>
    <row r="971" ht="15.75" customHeight="1" s="77"/>
    <row r="972" ht="15.75" customHeight="1" s="77"/>
    <row r="973" ht="15.75" customHeight="1" s="77"/>
    <row r="974" ht="15.75" customHeight="1" s="77"/>
    <row r="975" ht="15.75" customHeight="1" s="77"/>
    <row r="976" ht="15.75" customHeight="1" s="77"/>
    <row r="977" ht="15.75" customHeight="1" s="77"/>
    <row r="978" ht="15.75" customHeight="1" s="77"/>
    <row r="979" ht="15.75" customHeight="1" s="77"/>
    <row r="980" ht="15.75" customHeight="1" s="77"/>
    <row r="981" ht="15.75" customHeight="1" s="77"/>
    <row r="982" ht="15.75" customHeight="1" s="77"/>
    <row r="983" ht="15.75" customHeight="1" s="77"/>
    <row r="984" ht="15.75" customHeight="1" s="77"/>
    <row r="985" ht="15.75" customHeight="1" s="77"/>
    <row r="986" ht="15.75" customHeight="1" s="77"/>
    <row r="987" ht="15.75" customHeight="1" s="77"/>
    <row r="988" ht="15.75" customHeight="1" s="77"/>
    <row r="989" ht="15.75" customHeight="1" s="77"/>
    <row r="990" ht="15.75" customHeight="1" s="77"/>
    <row r="991" ht="15.75" customHeight="1" s="77"/>
    <row r="992" ht="15.75" customHeight="1" s="77"/>
    <row r="993" ht="15.75" customHeight="1" s="77"/>
    <row r="994" ht="15.75" customHeight="1" s="77"/>
    <row r="995" ht="15.75" customHeight="1" s="77"/>
    <row r="996" ht="15.75" customHeight="1" s="77"/>
    <row r="997" ht="15.75" customHeight="1" s="77"/>
    <row r="998" ht="15.75" customHeight="1" s="77"/>
    <row r="999" ht="15.75" customHeight="1" s="77"/>
    <row r="1000" ht="15.75" customHeight="1" s="7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G86"/>
  <sheetViews>
    <sheetView workbookViewId="0">
      <selection activeCell="A1" sqref="A1"/>
    </sheetView>
  </sheetViews>
  <sheetFormatPr baseColWidth="10" defaultColWidth="12.5703125" defaultRowHeight="15" customHeight="1"/>
  <cols>
    <col width="12.5703125" customWidth="1" style="77" min="1" max="3"/>
    <col width="54.42578125" customWidth="1" style="77" min="4" max="4"/>
    <col width="12.5703125" customWidth="1" style="77" min="5" max="6"/>
  </cols>
  <sheetData>
    <row r="1" ht="15.75" customHeight="1" s="77">
      <c r="A1" s="3" t="n"/>
      <c r="B1" s="3" t="n"/>
      <c r="C1" s="3" t="n"/>
      <c r="D1" s="3" t="n"/>
      <c r="E1" s="3" t="n"/>
      <c r="F1" s="45" t="inlineStr">
        <is>
          <t>Licence</t>
        </is>
      </c>
      <c r="G1" s="45" t="inlineStr">
        <is>
          <t>Licence</t>
        </is>
      </c>
    </row>
    <row r="2" ht="15.75" customHeight="1" s="77">
      <c r="A2" s="137" t="inlineStr">
        <is>
          <t>Estimation en jours</t>
        </is>
      </c>
      <c r="C2" s="3" t="n"/>
      <c r="D2" s="3" t="n"/>
      <c r="E2" s="3" t="n"/>
      <c r="F2" s="45" t="inlineStr">
        <is>
          <t>ETU001999</t>
        </is>
      </c>
      <c r="G2" s="45" t="inlineStr">
        <is>
          <t>ETU002000</t>
        </is>
      </c>
    </row>
    <row r="3" ht="15.75" customHeight="1" s="77">
      <c r="A3" s="21" t="n"/>
      <c r="B3" s="138" t="n"/>
      <c r="C3" s="139" t="n"/>
      <c r="D3" s="6" t="inlineStr">
        <is>
          <t>Tâches</t>
        </is>
      </c>
      <c r="E3" s="6" t="inlineStr">
        <is>
          <t>Estimation en jours</t>
        </is>
      </c>
      <c r="F3" s="47" t="inlineStr">
        <is>
          <t>John</t>
        </is>
      </c>
      <c r="G3" s="47" t="inlineStr">
        <is>
          <t>Jane</t>
        </is>
      </c>
    </row>
    <row r="4" ht="15.75" customHeight="1" s="77">
      <c r="A4" s="21" t="n"/>
      <c r="B4" s="140" t="n"/>
      <c r="C4" s="141" t="n"/>
      <c r="D4" s="13" t="inlineStr">
        <is>
          <t>installation des environnements serveurs</t>
        </is>
      </c>
      <c r="E4" s="12">
        <f>F4+G4</f>
        <v/>
      </c>
      <c r="F4" s="48" t="n">
        <v>1</v>
      </c>
      <c r="G4" s="48" t="n">
        <v>2</v>
      </c>
    </row>
    <row r="5" ht="15.75" customHeight="1" s="77">
      <c r="A5" s="142" t="n"/>
      <c r="C5" s="143" t="n"/>
      <c r="D5" s="13" t="inlineStr">
        <is>
          <t>Analyse, conception</t>
        </is>
      </c>
      <c r="E5" s="12">
        <f>F5+G5</f>
        <v/>
      </c>
      <c r="F5" s="48" t="n">
        <v>4</v>
      </c>
      <c r="G5" s="48" t="n">
        <v>5</v>
      </c>
    </row>
    <row r="6" ht="15.75" customHeight="1" s="77">
      <c r="A6" s="144" t="n"/>
      <c r="B6" s="145" t="n"/>
      <c r="C6" s="146" t="n"/>
      <c r="D6" s="19" t="inlineStr">
        <is>
          <t>Sous Total</t>
        </is>
      </c>
      <c r="E6" s="12">
        <f>SUM(E4:E5)</f>
        <v/>
      </c>
      <c r="F6" s="51">
        <f>SUM(F4:F5)</f>
        <v/>
      </c>
      <c r="G6" s="51">
        <f>SUM(G4:G5)</f>
        <v/>
      </c>
    </row>
    <row r="7" ht="15.75" customHeight="1" s="77">
      <c r="A7" s="21" t="n"/>
      <c r="B7" s="140" t="n"/>
      <c r="C7" s="141" t="n"/>
      <c r="D7" s="165" t="inlineStr">
        <is>
          <t>Gestion d'utilisateur</t>
        </is>
      </c>
      <c r="E7" s="138" t="n"/>
      <c r="F7" s="138" t="n"/>
      <c r="G7" s="139" t="n"/>
    </row>
    <row r="8" ht="15.75" customHeight="1" s="77">
      <c r="A8" s="142" t="n"/>
      <c r="C8" s="143" t="n"/>
      <c r="D8" s="13" t="inlineStr">
        <is>
          <t>Connexion profil</t>
        </is>
      </c>
      <c r="E8" s="12">
        <f>F8+G8</f>
        <v/>
      </c>
      <c r="F8" s="48" t="n">
        <v>3</v>
      </c>
      <c r="G8" s="21" t="n"/>
    </row>
    <row r="9" ht="15.75" customHeight="1" s="77">
      <c r="A9" s="142" t="n"/>
      <c r="C9" s="143" t="n"/>
      <c r="D9" s="13" t="inlineStr">
        <is>
          <t>Gestion permission</t>
        </is>
      </c>
      <c r="E9" s="12">
        <f>F9+G9</f>
        <v/>
      </c>
      <c r="F9" s="48" t="n">
        <v>2</v>
      </c>
      <c r="G9" s="21" t="n"/>
    </row>
    <row r="10" ht="15.75" customHeight="1" s="77">
      <c r="A10" s="142" t="n"/>
      <c r="C10" s="143" t="n"/>
      <c r="D10" s="19" t="inlineStr">
        <is>
          <t>Sous Total</t>
        </is>
      </c>
      <c r="E10" s="12">
        <f>SUM(E8:E9)</f>
        <v/>
      </c>
      <c r="F10" s="12">
        <f>SUM(F8:F9)</f>
        <v/>
      </c>
      <c r="G10" s="12">
        <f>SUM(G8:G9)</f>
        <v/>
      </c>
    </row>
    <row r="11" ht="15.75" customHeight="1" s="77">
      <c r="A11" s="142" t="n"/>
      <c r="C11" s="143" t="n"/>
      <c r="D11" s="165" t="inlineStr">
        <is>
          <t>Import données</t>
        </is>
      </c>
      <c r="E11" s="138" t="n"/>
      <c r="F11" s="138" t="n"/>
      <c r="G11" s="139" t="n"/>
    </row>
    <row r="12" ht="15.75" customHeight="1" s="77">
      <c r="A12" s="142" t="n"/>
      <c r="C12" s="143" t="n"/>
      <c r="D12" s="9" t="inlineStr">
        <is>
          <t>Employé</t>
        </is>
      </c>
      <c r="E12" s="55">
        <f>F12+G12</f>
        <v/>
      </c>
      <c r="F12" s="57" t="n"/>
      <c r="G12" s="57" t="n">
        <v>2</v>
      </c>
    </row>
    <row r="13" ht="15.75" customHeight="1" s="77">
      <c r="A13" s="142" t="n"/>
      <c r="C13" s="143" t="n"/>
      <c r="D13" s="9" t="inlineStr">
        <is>
          <t>Type de raphia</t>
        </is>
      </c>
      <c r="E13" s="55">
        <f>F13+G13</f>
        <v/>
      </c>
      <c r="F13" s="58" t="n"/>
      <c r="G13" s="58" t="n">
        <v>1</v>
      </c>
    </row>
    <row r="14" ht="15.75" customHeight="1" s="77">
      <c r="A14" s="142" t="n"/>
      <c r="C14" s="143" t="n"/>
      <c r="D14" s="9" t="inlineStr">
        <is>
          <t>Localisation/Producteur/Parcelle</t>
        </is>
      </c>
      <c r="E14" s="55">
        <f>F14+G14</f>
        <v/>
      </c>
      <c r="F14" s="58" t="n"/>
      <c r="G14" s="58" t="n">
        <v>1</v>
      </c>
    </row>
    <row r="15" ht="15.75" customHeight="1" s="77">
      <c r="A15" s="142" t="n"/>
      <c r="C15" s="143" t="n"/>
      <c r="D15" s="9" t="inlineStr">
        <is>
          <t>Type de travail</t>
        </is>
      </c>
      <c r="E15" s="55">
        <f>F15+G15</f>
        <v/>
      </c>
      <c r="F15" s="57" t="n"/>
      <c r="G15" s="57" t="n">
        <v>1</v>
      </c>
    </row>
    <row r="16" ht="15.75" customHeight="1" s="77">
      <c r="A16" s="142" t="n"/>
      <c r="C16" s="143" t="n"/>
      <c r="D16" s="60" t="inlineStr">
        <is>
          <t>Sous Total</t>
        </is>
      </c>
      <c r="E16" s="55">
        <f>SUM(E11:E15)</f>
        <v/>
      </c>
      <c r="F16" s="55">
        <f>SUM(F11:F15)</f>
        <v/>
      </c>
      <c r="G16" s="55">
        <f>SUM(G11:G15)</f>
        <v/>
      </c>
    </row>
    <row r="17" ht="15.75" customHeight="1" s="77">
      <c r="A17" s="142" t="n"/>
      <c r="C17" s="143" t="n"/>
      <c r="D17" s="165" t="inlineStr">
        <is>
          <t>Preparation magasin Raphia</t>
        </is>
      </c>
      <c r="E17" s="138" t="n"/>
      <c r="F17" s="138" t="n"/>
      <c r="G17" s="139" t="n"/>
    </row>
    <row r="18" ht="15.75" customHeight="1" s="77">
      <c r="A18" s="142" t="n"/>
      <c r="C18" s="143" t="n"/>
      <c r="D18" s="62" t="inlineStr">
        <is>
          <t>scan badge</t>
        </is>
      </c>
      <c r="E18" s="55">
        <f>F18+G18</f>
        <v/>
      </c>
      <c r="F18" s="58" t="n"/>
      <c r="G18" s="57" t="n">
        <v>2</v>
      </c>
    </row>
    <row r="19" ht="15.75" customHeight="1" s="77">
      <c r="A19" s="142" t="n"/>
      <c r="C19" s="143" t="n"/>
      <c r="D19" s="62" t="inlineStr">
        <is>
          <t xml:space="preserve">Interface avec validation </t>
        </is>
      </c>
      <c r="E19" s="55">
        <f>F19+G19</f>
        <v/>
      </c>
      <c r="F19" s="58" t="n"/>
      <c r="G19" s="57" t="n">
        <v>2</v>
      </c>
    </row>
    <row r="20" ht="15.75" customHeight="1" s="77">
      <c r="A20" s="142" t="n"/>
      <c r="C20" s="143" t="n"/>
      <c r="D20" s="62" t="inlineStr">
        <is>
          <t>Bouton annulation</t>
        </is>
      </c>
      <c r="E20" s="55">
        <f>F20+G20</f>
        <v/>
      </c>
      <c r="F20" s="57" t="n"/>
      <c r="G20" s="58" t="n">
        <v>1</v>
      </c>
    </row>
    <row r="21" ht="15.75" customHeight="1" s="77">
      <c r="A21" s="142" t="n"/>
      <c r="C21" s="143" t="n"/>
      <c r="D21" s="62" t="inlineStr">
        <is>
          <t>Date et heure automatique au moment de la validation</t>
        </is>
      </c>
      <c r="E21" s="55">
        <f>F21+G21</f>
        <v/>
      </c>
      <c r="F21" s="57" t="n"/>
      <c r="G21" s="58" t="n">
        <v>1</v>
      </c>
    </row>
    <row r="22" ht="15.75" customHeight="1" s="77">
      <c r="A22" s="142" t="n"/>
      <c r="C22" s="143" t="n"/>
      <c r="D22" s="62" t="inlineStr">
        <is>
          <t>Metier</t>
        </is>
      </c>
      <c r="E22" s="55">
        <f>F22+G22</f>
        <v/>
      </c>
      <c r="F22" s="58" t="n"/>
      <c r="G22" s="57" t="n">
        <v>2</v>
      </c>
    </row>
    <row r="23" ht="15.75" customHeight="1" s="77">
      <c r="A23" s="142" t="n"/>
      <c r="C23" s="143" t="n"/>
      <c r="D23" s="62" t="inlineStr">
        <is>
          <t>Integration poids</t>
        </is>
      </c>
      <c r="E23" s="55">
        <f>F23+G23</f>
        <v/>
      </c>
      <c r="F23" s="58" t="n"/>
      <c r="G23" s="57" t="n">
        <v>1</v>
      </c>
    </row>
    <row r="24" ht="15.75" customHeight="1" s="77">
      <c r="A24" s="142" t="n"/>
      <c r="C24" s="143" t="n"/>
      <c r="D24" s="62" t="inlineStr">
        <is>
          <t>Generer code barre numéro unique</t>
        </is>
      </c>
      <c r="E24" s="55">
        <f>F24+G24</f>
        <v/>
      </c>
      <c r="F24" s="58" t="n"/>
      <c r="G24" s="57" t="n">
        <v>2</v>
      </c>
    </row>
    <row r="25" ht="15.75" customHeight="1" s="77">
      <c r="A25" s="142" t="n"/>
      <c r="C25" s="143" t="n"/>
      <c r="D25" s="57" t="inlineStr">
        <is>
          <t>Historique (recherche filtré)</t>
        </is>
      </c>
      <c r="E25" s="55">
        <f>F25+G25</f>
        <v/>
      </c>
      <c r="F25" s="58" t="n"/>
      <c r="G25" s="57" t="n">
        <v>2</v>
      </c>
    </row>
    <row r="26" ht="15.75" customHeight="1" s="77">
      <c r="A26" s="142" t="n"/>
      <c r="C26" s="143" t="n"/>
      <c r="D26" s="60" t="inlineStr">
        <is>
          <t>Sous Total</t>
        </is>
      </c>
      <c r="E26" s="55">
        <f>SUM(E18:E25)</f>
        <v/>
      </c>
      <c r="F26" s="55">
        <f>SUM(F18:F25)</f>
        <v/>
      </c>
      <c r="G26" s="55">
        <f>SUM(G19:G25)</f>
        <v/>
      </c>
    </row>
    <row r="27" ht="15.75" customHeight="1" s="77">
      <c r="A27" s="142" t="n"/>
      <c r="C27" s="143" t="n"/>
      <c r="D27" s="165" t="inlineStr">
        <is>
          <t>Distribution vers crocheteurs</t>
        </is>
      </c>
      <c r="E27" s="138" t="n"/>
      <c r="F27" s="138" t="n"/>
      <c r="G27" s="139" t="n"/>
    </row>
    <row r="28" ht="15.75" customHeight="1" s="77">
      <c r="A28" s="142" t="n"/>
      <c r="C28" s="143" t="n"/>
      <c r="D28" s="62" t="inlineStr">
        <is>
          <t>Scan barcode numéro unique</t>
        </is>
      </c>
      <c r="E28" s="55">
        <f>F28+G28</f>
        <v/>
      </c>
      <c r="F28" s="57" t="n"/>
      <c r="G28" s="58" t="n">
        <v>2</v>
      </c>
    </row>
    <row r="29" ht="15.75" customHeight="1" s="77">
      <c r="A29" s="142" t="n"/>
      <c r="C29" s="143" t="n"/>
      <c r="D29" s="63" t="inlineStr">
        <is>
          <t>Intégration plusieurs numéros uniques</t>
        </is>
      </c>
      <c r="E29" s="55">
        <f>F29+G29</f>
        <v/>
      </c>
      <c r="F29" s="57" t="n"/>
      <c r="G29" s="58" t="n">
        <v>2</v>
      </c>
    </row>
    <row r="30" ht="15.75" customHeight="1" s="77">
      <c r="A30" s="142" t="n"/>
      <c r="C30" s="143" t="n"/>
      <c r="D30" s="62" t="inlineStr">
        <is>
          <t>Date et heure automatique au moment de la validation</t>
        </is>
      </c>
      <c r="E30" s="55">
        <f>F30+G30</f>
        <v/>
      </c>
      <c r="F30" s="57" t="n"/>
      <c r="G30" s="58" t="n">
        <v>1</v>
      </c>
    </row>
    <row r="31" ht="15.75" customHeight="1" s="77">
      <c r="A31" s="142" t="n"/>
      <c r="C31" s="143" t="n"/>
      <c r="D31" s="62" t="inlineStr">
        <is>
          <t>Scan type de travail</t>
        </is>
      </c>
      <c r="E31" s="55">
        <f>F31+G31</f>
        <v/>
      </c>
      <c r="F31" s="57" t="n"/>
      <c r="G31" s="58" t="n">
        <v>2</v>
      </c>
    </row>
    <row r="32" ht="15.75" customHeight="1" s="77">
      <c r="A32" s="142" t="n"/>
      <c r="C32" s="143" t="n"/>
      <c r="D32" s="62" t="inlineStr">
        <is>
          <t>Scan ticket SEAM (code barre)</t>
        </is>
      </c>
      <c r="E32" s="55">
        <f>F32+G32</f>
        <v/>
      </c>
      <c r="F32" s="57" t="n"/>
      <c r="G32" s="58" t="n">
        <v>1</v>
      </c>
    </row>
    <row r="33" ht="15.75" customHeight="1" s="77">
      <c r="A33" s="142" t="n"/>
      <c r="C33" s="143" t="n"/>
      <c r="D33" s="62" t="inlineStr">
        <is>
          <t>Rajout numéro unique même si la première distribution a été déjà faite</t>
        </is>
      </c>
      <c r="E33" s="55">
        <f>F33+G33</f>
        <v/>
      </c>
      <c r="F33" s="57" t="n"/>
      <c r="G33" s="58" t="n">
        <v>1</v>
      </c>
    </row>
    <row r="34" ht="15.75" customHeight="1" s="77">
      <c r="A34" s="142" t="n"/>
      <c r="C34" s="143" t="n"/>
      <c r="D34" s="57" t="inlineStr">
        <is>
          <t>scan badge crocheteur</t>
        </is>
      </c>
      <c r="E34" s="55">
        <f>F34+G34</f>
        <v/>
      </c>
      <c r="F34" s="57" t="n"/>
      <c r="G34" s="58" t="n">
        <v>2</v>
      </c>
    </row>
    <row r="35" ht="15.75" customHeight="1" s="77">
      <c r="A35" s="142" t="n"/>
      <c r="C35" s="143" t="n"/>
      <c r="D35" s="62" t="inlineStr">
        <is>
          <t>Bouton annulation</t>
        </is>
      </c>
      <c r="E35" s="55">
        <f>F35+G35</f>
        <v/>
      </c>
      <c r="F35" s="57" t="n"/>
      <c r="G35" s="58" t="n">
        <v>1</v>
      </c>
    </row>
    <row r="36" ht="15.75" customHeight="1" s="77">
      <c r="A36" s="142" t="n"/>
      <c r="C36" s="143" t="n"/>
      <c r="D36" s="62" t="inlineStr">
        <is>
          <t>Interface avec validation (controle de valeur)</t>
        </is>
      </c>
      <c r="E36" s="55">
        <f>F36+G36</f>
        <v/>
      </c>
      <c r="F36" s="57" t="n"/>
      <c r="G36" s="58" t="n">
        <v>2</v>
      </c>
    </row>
    <row r="37" ht="15.75" customHeight="1" s="77">
      <c r="A37" s="142" t="n"/>
      <c r="C37" s="143" t="n"/>
      <c r="D37" s="62" t="inlineStr">
        <is>
          <t>Metier</t>
        </is>
      </c>
      <c r="E37" s="55">
        <f>F37+G37</f>
        <v/>
      </c>
      <c r="F37" s="57" t="n"/>
      <c r="G37" s="58" t="n">
        <v>2</v>
      </c>
    </row>
    <row r="38" ht="15.75" customHeight="1" s="77">
      <c r="A38" s="142" t="n"/>
      <c r="C38" s="143" t="n"/>
      <c r="D38" s="62" t="inlineStr">
        <is>
          <t>Historique (recherche filtré)</t>
        </is>
      </c>
      <c r="E38" s="55">
        <f>F38+G38</f>
        <v/>
      </c>
      <c r="F38" s="57" t="n"/>
      <c r="G38" s="58" t="n">
        <v>2</v>
      </c>
    </row>
    <row r="39" ht="15.75" customHeight="1" s="77">
      <c r="A39" s="142" t="n"/>
      <c r="C39" s="143" t="n"/>
      <c r="D39" s="62" t="inlineStr">
        <is>
          <t>Integration</t>
        </is>
      </c>
      <c r="E39" s="55">
        <f>F39+G39</f>
        <v/>
      </c>
      <c r="F39" s="57" t="n"/>
      <c r="G39" s="58" t="n">
        <v>2</v>
      </c>
    </row>
    <row r="40" ht="15.75" customHeight="1" s="77">
      <c r="A40" s="142" t="n"/>
      <c r="C40" s="143" t="n"/>
      <c r="D40" s="19" t="inlineStr">
        <is>
          <t>Sous Total</t>
        </is>
      </c>
      <c r="E40" s="12">
        <f>SUM(E28:E39)</f>
        <v/>
      </c>
      <c r="F40" s="12">
        <f>SUM(F34:F39)</f>
        <v/>
      </c>
      <c r="G40" s="12">
        <f>SUM(G28:G39)</f>
        <v/>
      </c>
    </row>
    <row r="41" ht="15.75" customHeight="1" s="77">
      <c r="A41" s="142" t="n"/>
      <c r="C41" s="143" t="n"/>
      <c r="D41" s="165" t="inlineStr">
        <is>
          <t>Controle bout de table</t>
        </is>
      </c>
      <c r="E41" s="138" t="n"/>
      <c r="F41" s="138" t="n"/>
      <c r="G41" s="139" t="n"/>
    </row>
    <row r="42" ht="15.75" customHeight="1" s="77">
      <c r="A42" s="142" t="n"/>
      <c r="C42" s="143" t="n"/>
      <c r="D42" s="64" t="inlineStr">
        <is>
          <t>Scan ticket SEAM (code barre)</t>
        </is>
      </c>
      <c r="E42" s="55">
        <f>F42+G42</f>
        <v/>
      </c>
      <c r="F42" s="58" t="n">
        <v>1</v>
      </c>
      <c r="G42" s="57" t="n"/>
    </row>
    <row r="43" ht="15.75" customHeight="1" s="77">
      <c r="A43" s="142" t="n"/>
      <c r="C43" s="143" t="n"/>
      <c r="D43" s="62" t="inlineStr">
        <is>
          <t>Date et heure automatique au moment de la validation</t>
        </is>
      </c>
      <c r="E43" s="55">
        <f>F43+G43</f>
        <v/>
      </c>
      <c r="F43" s="57" t="n">
        <v>1</v>
      </c>
      <c r="G43" s="58" t="n"/>
    </row>
    <row r="44" ht="15.75" customHeight="1" s="77">
      <c r="A44" s="142" t="n"/>
      <c r="C44" s="143" t="n"/>
      <c r="D44" s="64" t="inlineStr">
        <is>
          <t xml:space="preserve">Interface avec validation </t>
        </is>
      </c>
      <c r="E44" s="55">
        <f>F44+G44</f>
        <v/>
      </c>
      <c r="F44" s="58" t="n">
        <v>2</v>
      </c>
      <c r="G44" s="57" t="n"/>
    </row>
    <row r="45" ht="15.75" customHeight="1" s="77">
      <c r="A45" s="142" t="n"/>
      <c r="C45" s="143" t="n"/>
      <c r="D45" s="62" t="inlineStr">
        <is>
          <t>Bouton annulation</t>
        </is>
      </c>
      <c r="E45" s="55">
        <f>F45+G45</f>
        <v/>
      </c>
      <c r="F45" s="57" t="n">
        <v>1</v>
      </c>
      <c r="G45" s="58" t="n"/>
    </row>
    <row r="46" ht="15.75" customHeight="1" s="77">
      <c r="A46" s="142" t="n"/>
      <c r="C46" s="143" t="n"/>
      <c r="D46" s="64" t="inlineStr">
        <is>
          <t>Bouton spécifiant pièce irrécupérable et stockage dans le système</t>
        </is>
      </c>
      <c r="E46" s="55">
        <f>F46+G46</f>
        <v/>
      </c>
      <c r="F46" s="58" t="n">
        <v>2</v>
      </c>
      <c r="G46" s="57" t="n"/>
    </row>
    <row r="47" ht="15.75" customHeight="1" s="77">
      <c r="A47" s="142" t="n"/>
      <c r="C47" s="143" t="n"/>
      <c r="D47" s="65" t="inlineStr">
        <is>
          <t>Bouton spécifiant qu'un n° unique est irrécupérable et sera rejeté dans les en-cours
Nécessité de nouvelle distribution après</t>
        </is>
      </c>
      <c r="E47" s="55">
        <f>F47+G47</f>
        <v/>
      </c>
      <c r="F47" s="58" t="n">
        <v>2</v>
      </c>
      <c r="G47" s="57" t="n"/>
    </row>
    <row r="48" ht="15.75" customHeight="1" s="77">
      <c r="A48" s="142" t="n"/>
      <c r="C48" s="143" t="n"/>
      <c r="D48" s="64" t="inlineStr">
        <is>
          <t>Metier</t>
        </is>
      </c>
      <c r="E48" s="55">
        <f>F48+G48</f>
        <v/>
      </c>
      <c r="F48" s="58" t="n">
        <v>2</v>
      </c>
      <c r="G48" s="57" t="n"/>
    </row>
    <row r="49" ht="15.75" customHeight="1" s="77">
      <c r="A49" s="142" t="n"/>
      <c r="C49" s="143" t="n"/>
      <c r="D49" s="64" t="inlineStr">
        <is>
          <t>Integration</t>
        </is>
      </c>
      <c r="E49" s="55">
        <f>F49+G49</f>
        <v/>
      </c>
      <c r="F49" s="58" t="n">
        <v>1</v>
      </c>
      <c r="G49" s="57" t="n"/>
    </row>
    <row r="50" ht="15.75" customHeight="1" s="77">
      <c r="A50" s="142" t="n"/>
      <c r="C50" s="143" t="n"/>
      <c r="D50" s="66" t="inlineStr">
        <is>
          <t>Generer QrCode pour avoir les donnees du produits : 
- tous les n°unique
- toutes les provenances
- qui a fait le crochetage</t>
        </is>
      </c>
      <c r="E50" s="55">
        <f>F50+G50</f>
        <v/>
      </c>
      <c r="F50" s="58" t="n">
        <v>4</v>
      </c>
      <c r="G50" s="57" t="n"/>
    </row>
    <row r="51" ht="15.75" customHeight="1" s="77">
      <c r="A51" s="142" t="n"/>
      <c r="C51" s="143" t="n"/>
      <c r="D51" s="64" t="inlineStr">
        <is>
          <t>Impression QrCode</t>
        </is>
      </c>
      <c r="E51" s="55">
        <f>F51+G51</f>
        <v/>
      </c>
      <c r="F51" s="58" t="n">
        <v>1</v>
      </c>
      <c r="G51" s="57" t="n"/>
    </row>
    <row r="52" ht="15.75" customHeight="1" s="77">
      <c r="A52" s="142" t="n"/>
      <c r="C52" s="143" t="n"/>
      <c r="D52" s="64" t="inlineStr">
        <is>
          <t>Possibilité impression QrCode ultérieurement</t>
        </is>
      </c>
      <c r="E52" s="55">
        <f>F52+G52</f>
        <v/>
      </c>
      <c r="F52" s="58" t="n">
        <v>1</v>
      </c>
      <c r="G52" s="57" t="n"/>
    </row>
    <row r="53" ht="15.75" customHeight="1" s="77">
      <c r="A53" s="142" t="n"/>
      <c r="C53" s="143" t="n"/>
      <c r="D53" s="60" t="inlineStr">
        <is>
          <t>Sous Total</t>
        </is>
      </c>
      <c r="E53" s="55">
        <f>SUM(E42:E52)</f>
        <v/>
      </c>
      <c r="F53" s="55">
        <f>SUM(F42:F52)</f>
        <v/>
      </c>
      <c r="G53" s="55">
        <f>SUM(G42:G50)</f>
        <v/>
      </c>
    </row>
    <row r="54" ht="15.75" customHeight="1" s="77">
      <c r="A54" s="142" t="n"/>
      <c r="C54" s="143" t="n"/>
      <c r="D54" s="165" t="inlineStr">
        <is>
          <t>Système de cache et optimisation</t>
        </is>
      </c>
      <c r="E54" s="138" t="n"/>
      <c r="F54" s="138" t="n"/>
      <c r="G54" s="139" t="n"/>
    </row>
    <row r="55" ht="15.75" customHeight="1" s="77">
      <c r="A55" s="142" t="n"/>
      <c r="C55" s="143" t="n"/>
      <c r="D55" s="13" t="inlineStr">
        <is>
          <t>Cache au niveau des postes clients</t>
        </is>
      </c>
      <c r="E55" s="12">
        <f>F55+G55</f>
        <v/>
      </c>
      <c r="F55" s="48" t="n">
        <v>3</v>
      </c>
      <c r="G55" s="21" t="n"/>
    </row>
    <row r="56" ht="15.75" customHeight="1" s="77">
      <c r="A56" s="142" t="n"/>
      <c r="C56" s="143" t="n"/>
      <c r="D56" s="13" t="inlineStr">
        <is>
          <t>Cache sur le serveur local</t>
        </is>
      </c>
      <c r="E56" s="12">
        <f>F56+G56</f>
        <v/>
      </c>
      <c r="F56" s="48" t="n">
        <v>3</v>
      </c>
      <c r="G56" s="21" t="n"/>
    </row>
    <row r="57" ht="15.75" customHeight="1" s="77">
      <c r="A57" s="142" t="n"/>
      <c r="C57" s="143" t="n"/>
      <c r="D57" s="13" t="inlineStr">
        <is>
          <t>Reprise apres coupure et indempotence des données</t>
        </is>
      </c>
      <c r="E57" s="12">
        <f>F57+G57</f>
        <v/>
      </c>
      <c r="F57" s="48" t="n">
        <v>3</v>
      </c>
      <c r="G57" s="21" t="n"/>
    </row>
    <row r="58" ht="15.75" customHeight="1" s="77">
      <c r="A58" s="142" t="n"/>
      <c r="C58" s="143" t="n"/>
      <c r="D58" s="13" t="inlineStr">
        <is>
          <t>Compression et optimisation des données</t>
        </is>
      </c>
      <c r="E58" s="12">
        <f>F58+G58</f>
        <v/>
      </c>
      <c r="F58" s="48" t="n">
        <v>2</v>
      </c>
      <c r="G58" s="21" t="n"/>
    </row>
    <row r="59" ht="15.75" customHeight="1" s="77">
      <c r="A59" s="142" t="n"/>
      <c r="C59" s="143" t="n"/>
      <c r="D59" s="19" t="inlineStr">
        <is>
          <t>Sous Total</t>
        </is>
      </c>
      <c r="E59" s="12">
        <f>SUM(E55:E58)</f>
        <v/>
      </c>
      <c r="F59" s="12">
        <f>SUM(F55:F58)</f>
        <v/>
      </c>
      <c r="G59" s="12">
        <f>SUM(G55:G58)</f>
        <v/>
      </c>
    </row>
    <row r="60" ht="15.75" customHeight="1" s="77">
      <c r="A60" s="142" t="n"/>
      <c r="C60" s="143" t="n"/>
      <c r="D60" s="165" t="inlineStr">
        <is>
          <t>Etats d'analyse et statistiques (admin)</t>
        </is>
      </c>
      <c r="E60" s="138" t="n"/>
      <c r="F60" s="138" t="n"/>
      <c r="G60" s="139" t="n"/>
    </row>
    <row r="61" ht="15.75" customHeight="1" s="77">
      <c r="A61" s="142" t="n"/>
      <c r="C61" s="143" t="n"/>
      <c r="D61" s="67" t="inlineStr">
        <is>
          <t>Quantité de raphia préparée par période (jour, semaine, mois).</t>
        </is>
      </c>
      <c r="E61" s="55">
        <f>F61+G61</f>
        <v/>
      </c>
      <c r="F61" s="57" t="n"/>
      <c r="G61" s="58" t="n">
        <v>1</v>
      </c>
    </row>
    <row r="62" ht="15.75" customHeight="1" s="77">
      <c r="A62" s="142" t="n"/>
      <c r="C62" s="143" t="n"/>
      <c r="D62" s="57" t="inlineStr">
        <is>
          <t>Poids moyen préparé par trieur par période</t>
        </is>
      </c>
      <c r="E62" s="55">
        <f>F62+G62</f>
        <v/>
      </c>
      <c r="F62" s="57" t="n"/>
      <c r="G62" s="58" t="n">
        <v>1</v>
      </c>
    </row>
    <row r="63" ht="15.75" customHeight="1" s="77">
      <c r="A63" s="142" t="n"/>
      <c r="C63" s="143" t="n"/>
      <c r="D63" s="67" t="inlineStr">
        <is>
          <t>Distribution de la production par localisation/producteur/parcelle.</t>
        </is>
      </c>
      <c r="E63" s="55">
        <f>F63+G63</f>
        <v/>
      </c>
      <c r="F63" s="57" t="n"/>
      <c r="G63" s="58" t="n">
        <v>1</v>
      </c>
    </row>
    <row r="64" ht="15.75" customHeight="1" s="77">
      <c r="A64" s="142" t="n"/>
      <c r="C64" s="143" t="n"/>
      <c r="D64" s="57" t="inlineStr">
        <is>
          <t>Identifier le type de raphia le plus utilisé.</t>
        </is>
      </c>
      <c r="E64" s="55">
        <f>F64+G64</f>
        <v/>
      </c>
      <c r="F64" s="57" t="n"/>
      <c r="G64" s="58" t="n">
        <v>1</v>
      </c>
    </row>
    <row r="65" ht="15.75" customHeight="1" s="77">
      <c r="A65" s="142" t="n"/>
      <c r="C65" s="143" t="n"/>
      <c r="D65" s="57" t="inlineStr">
        <is>
          <t>Poids total distribué par période.</t>
        </is>
      </c>
      <c r="E65" s="55">
        <f>F65+G65</f>
        <v/>
      </c>
      <c r="F65" s="57" t="n"/>
      <c r="G65" s="58" t="n">
        <v>1</v>
      </c>
    </row>
    <row r="66" ht="15.75" customHeight="1" s="77">
      <c r="A66" s="142" t="n"/>
      <c r="C66" s="143" t="n"/>
      <c r="D66" s="67" t="inlineStr">
        <is>
          <t>Répartition des travaux par type de raphia et crocheteur/travail.</t>
        </is>
      </c>
      <c r="E66" s="55">
        <f>F66+G66</f>
        <v/>
      </c>
      <c r="F66" s="57" t="n">
        <v>1</v>
      </c>
      <c r="G66" s="58" t="n"/>
    </row>
    <row r="67" ht="15.75" customHeight="1" s="77">
      <c r="A67" s="142" t="n"/>
      <c r="C67" s="143" t="n"/>
      <c r="D67" s="67" t="inlineStr">
        <is>
          <t>Suivi des crocheteurs (performance en termes de durée de travail).</t>
        </is>
      </c>
      <c r="E67" s="55">
        <f>F67+G67</f>
        <v/>
      </c>
      <c r="F67" s="57" t="n">
        <v>1</v>
      </c>
      <c r="G67" s="58" t="n"/>
    </row>
    <row r="68" ht="15.75" customHeight="1" s="77">
      <c r="A68" s="142" t="n"/>
      <c r="C68" s="143" t="n"/>
      <c r="D68" s="67" t="inlineStr">
        <is>
          <t>Temps entre préparation et distribution pour l'analyse de l'efficacité logistique.</t>
        </is>
      </c>
      <c r="E68" s="55">
        <f>F68+G68</f>
        <v/>
      </c>
      <c r="F68" s="57" t="n">
        <v>1</v>
      </c>
      <c r="G68" s="58" t="n"/>
    </row>
    <row r="69" ht="15.75" customHeight="1" s="77">
      <c r="A69" s="142" t="n"/>
      <c r="C69" s="143" t="n"/>
      <c r="D69" s="67" t="inlineStr">
        <is>
          <t>Taux de pièces irrécupérables par crocheteur, type de raphia, ou travail.</t>
        </is>
      </c>
      <c r="E69" s="55">
        <f>F69+G69</f>
        <v/>
      </c>
      <c r="F69" s="57" t="n">
        <v>1</v>
      </c>
      <c r="G69" s="58" t="n"/>
    </row>
    <row r="70" ht="15.75" customHeight="1" s="77">
      <c r="A70" s="142" t="n"/>
      <c r="C70" s="143" t="n"/>
      <c r="D70" s="57" t="inlineStr">
        <is>
          <t>Temps entre distribution et contrôle bout de table</t>
        </is>
      </c>
      <c r="E70" s="55">
        <f>F70+G70</f>
        <v/>
      </c>
      <c r="F70" s="57" t="n">
        <v>1</v>
      </c>
      <c r="G70" s="58" t="n"/>
    </row>
    <row r="71" ht="15.75" customHeight="1" s="77">
      <c r="A71" s="142" t="n"/>
      <c r="C71" s="143" t="n"/>
      <c r="D71" s="57" t="inlineStr">
        <is>
          <t>Nombre de pièces contrôlées par contrôleur.</t>
        </is>
      </c>
      <c r="E71" s="55">
        <f>F71+G71</f>
        <v/>
      </c>
      <c r="F71" s="57" t="n">
        <v>1</v>
      </c>
      <c r="G71" s="58" t="n"/>
    </row>
    <row r="72" ht="15.75" customHeight="1" s="77">
      <c r="A72" s="142" t="n"/>
      <c r="C72" s="143" t="n"/>
      <c r="D72" s="67" t="inlineStr">
        <is>
          <t>KPI général par chaque intervenant (trieurs, crocheteurs, contrôleurs) via des indicateurs, par période</t>
        </is>
      </c>
      <c r="E72" s="55">
        <f>F72+G72</f>
        <v/>
      </c>
      <c r="F72" s="58" t="n">
        <v>2</v>
      </c>
      <c r="G72" s="57" t="n"/>
    </row>
    <row r="73" ht="15.75" customHeight="1" s="77">
      <c r="A73" s="142" t="n"/>
      <c r="C73" s="143" t="n"/>
      <c r="D73" s="68" t="inlineStr">
        <is>
          <t>Situation des en-cours en production en fonction des distribués et non contrôlés finaux avec les noms de crocheteuses et les numéros uniques + le type de travail</t>
        </is>
      </c>
      <c r="E73" s="55">
        <f>F73+G73</f>
        <v/>
      </c>
      <c r="F73" s="58" t="n">
        <v>2</v>
      </c>
      <c r="G73" s="57" t="n"/>
    </row>
    <row r="74" ht="15.75" customHeight="1" s="77">
      <c r="A74" s="144" t="n"/>
      <c r="B74" s="145" t="n"/>
      <c r="C74" s="146" t="n"/>
      <c r="D74" s="19" t="inlineStr">
        <is>
          <t>Sous Total</t>
        </is>
      </c>
      <c r="E74" s="12">
        <f>SUM(E61:E73)</f>
        <v/>
      </c>
      <c r="F74" s="69">
        <f>SUM(F61:F73)</f>
        <v/>
      </c>
      <c r="G74" s="69">
        <f>SUM(G61:G73)</f>
        <v/>
      </c>
    </row>
    <row r="75" ht="15.75" customHeight="1" s="77">
      <c r="A75" s="18" t="inlineStr">
        <is>
          <t>Tests</t>
        </is>
      </c>
      <c r="B75" s="140" t="n"/>
      <c r="C75" s="141" t="n"/>
      <c r="D75" s="165" t="inlineStr">
        <is>
          <t>Tests unitaires</t>
        </is>
      </c>
      <c r="E75" s="138" t="n"/>
      <c r="F75" s="138" t="n"/>
      <c r="G75" s="139" t="n"/>
    </row>
    <row r="76" ht="15.75" customHeight="1" s="77">
      <c r="A76" s="142" t="n"/>
      <c r="C76" s="143" t="n"/>
      <c r="D76" s="50" t="inlineStr">
        <is>
          <t>tests unitaires pour les fonctionnalités de collecte de données.</t>
        </is>
      </c>
      <c r="E76" s="12">
        <f>F76+G76</f>
        <v/>
      </c>
      <c r="F76" s="48" t="n">
        <v>3</v>
      </c>
      <c r="G76" s="21" t="n"/>
    </row>
    <row r="77" ht="15.75" customHeight="1" s="77">
      <c r="A77" s="142" t="n"/>
      <c r="C77" s="143" t="n"/>
      <c r="D77" s="50" t="inlineStr">
        <is>
          <t>Valider la génération des statistiques (exemple : vérifier les calculs et la cohérence des données).</t>
        </is>
      </c>
      <c r="E77" s="12">
        <f>F77+G77</f>
        <v/>
      </c>
      <c r="F77" s="21" t="n"/>
      <c r="G77" s="48" t="n">
        <v>2</v>
      </c>
    </row>
    <row r="78" ht="15.75" customHeight="1" s="77">
      <c r="A78" s="144" t="n"/>
      <c r="B78" s="145" t="n"/>
      <c r="C78" s="146" t="n"/>
      <c r="D78" s="50" t="inlineStr">
        <is>
          <t>Tester la performance et la fiabilité de l'application (en particulier en cas de coupures réseau).</t>
        </is>
      </c>
      <c r="E78" s="12">
        <f>F78+G78</f>
        <v/>
      </c>
      <c r="F78" s="48" t="n">
        <v>2</v>
      </c>
      <c r="G78" s="21" t="n"/>
    </row>
    <row r="79" ht="15.75" customHeight="1" s="77">
      <c r="A79" s="18" t="inlineStr">
        <is>
          <t>Déploiement</t>
        </is>
      </c>
      <c r="B79" s="138" t="n"/>
      <c r="C79" s="139" t="n"/>
      <c r="D79" s="13" t="inlineStr">
        <is>
          <t>Déploiement local</t>
        </is>
      </c>
      <c r="E79" s="12">
        <f>F79+G79</f>
        <v/>
      </c>
      <c r="F79" s="48" t="n">
        <v>2</v>
      </c>
      <c r="G79" s="48" t="n">
        <v>2</v>
      </c>
    </row>
    <row r="80" ht="15.75" customHeight="1" s="77">
      <c r="A80" s="18" t="inlineStr">
        <is>
          <t>Formation</t>
        </is>
      </c>
      <c r="B80" s="138" t="n"/>
      <c r="C80" s="139" t="n"/>
      <c r="D80" s="13" t="inlineStr">
        <is>
          <t>Formation utilisateur</t>
        </is>
      </c>
      <c r="E80" s="12">
        <f>F80+G80</f>
        <v/>
      </c>
      <c r="F80" s="48" t="n">
        <v>1</v>
      </c>
      <c r="G80" s="48" t="n">
        <v>1</v>
      </c>
    </row>
    <row r="81" ht="15.75" customHeight="1" s="77">
      <c r="A81" s="18" t="inlineStr">
        <is>
          <t>Autres projets</t>
        </is>
      </c>
      <c r="B81" s="140" t="n"/>
      <c r="C81" s="141" t="n"/>
      <c r="D81" s="13" t="inlineStr">
        <is>
          <t>Correction bugs sur l'application GRH</t>
        </is>
      </c>
      <c r="E81" s="12">
        <f>F81+G81</f>
        <v/>
      </c>
      <c r="F81" s="48" t="n">
        <v>6</v>
      </c>
      <c r="G81" s="48" t="n">
        <v>2</v>
      </c>
    </row>
    <row r="82" ht="15.75" customHeight="1" s="77">
      <c r="A82" s="142" t="n"/>
      <c r="C82" s="143" t="n"/>
      <c r="D82" s="13" t="inlineStr">
        <is>
          <t>Assistance sur site</t>
        </is>
      </c>
      <c r="E82" s="12">
        <f>F82+G82</f>
        <v/>
      </c>
      <c r="F82" s="48" t="n"/>
      <c r="G82" s="48" t="n">
        <v>3</v>
      </c>
    </row>
    <row r="83" ht="15.75" customHeight="1" s="77">
      <c r="A83" s="142" t="n"/>
      <c r="C83" s="143" t="n"/>
      <c r="D83" s="13" t="inlineStr">
        <is>
          <t>Déploiement application Odoo</t>
        </is>
      </c>
      <c r="E83" s="12">
        <f>F83+G83</f>
        <v/>
      </c>
      <c r="F83" s="48" t="n">
        <v>3</v>
      </c>
      <c r="G83" s="48" t="n">
        <v>3</v>
      </c>
    </row>
    <row r="84" ht="15.75" customHeight="1" s="77">
      <c r="A84" s="144" t="n"/>
      <c r="B84" s="145" t="n"/>
      <c r="C84" s="146" t="n"/>
      <c r="D84" s="13" t="inlineStr">
        <is>
          <t>Personnalisation module Odoo</t>
        </is>
      </c>
      <c r="E84" s="12">
        <f>F84+G84</f>
        <v/>
      </c>
      <c r="F84" s="48" t="n"/>
      <c r="G84" s="48" t="n">
        <v>4</v>
      </c>
    </row>
    <row r="85" ht="15.75" customHeight="1" s="77">
      <c r="A85" s="83" t="n"/>
      <c r="B85" s="83" t="n"/>
      <c r="C85" s="83" t="n"/>
      <c r="D85" s="30" t="n"/>
      <c r="E85" s="12">
        <f>SUM(E81:E84)</f>
        <v/>
      </c>
      <c r="F85" s="12">
        <f>SUM(F81:F84)</f>
        <v/>
      </c>
      <c r="G85" s="12">
        <f>SUM(G81:G84)</f>
        <v/>
      </c>
    </row>
    <row r="86" ht="15.75" customHeight="1" s="77">
      <c r="A86" s="3" t="n"/>
      <c r="B86" s="3" t="n"/>
      <c r="C86" s="3" t="n"/>
      <c r="D86" s="3" t="n"/>
      <c r="E86" s="33">
        <f>SUM(E76:E80,E6,E10,E16,E26,E40,E53,E59,E74,E85)</f>
        <v/>
      </c>
      <c r="F86" s="33">
        <f>SUM(F76:F80,F6,F10,F16,F26,F40,F53,F59,F74,F85)</f>
        <v/>
      </c>
      <c r="G86" s="33">
        <f>SUM(G76:G80,G6,G10,G16,G26,G40,G53,G59,G74,G85)</f>
        <v/>
      </c>
    </row>
    <row r="87" ht="15.75" customHeight="1" s="77"/>
    <row r="88" ht="15.75" customHeight="1" s="77"/>
    <row r="89" ht="15.75" customHeight="1" s="77"/>
    <row r="90" ht="15.75" customHeight="1" s="77"/>
    <row r="91" ht="15.75" customHeight="1" s="77"/>
    <row r="92" ht="15.75" customHeight="1" s="77"/>
    <row r="93" ht="15.75" customHeight="1" s="77"/>
    <row r="94" ht="15.75" customHeight="1" s="77"/>
    <row r="95" ht="15.75" customHeight="1" s="77"/>
    <row r="96" ht="15.75" customHeight="1" s="77"/>
    <row r="97" ht="15.75" customHeight="1" s="77"/>
    <row r="98" ht="15.75" customHeight="1" s="77"/>
    <row r="99" ht="15.75" customHeight="1" s="77"/>
    <row r="100" ht="15.75" customHeight="1" s="77"/>
    <row r="101" ht="15.75" customHeight="1" s="77"/>
    <row r="102" ht="15.75" customHeight="1" s="77"/>
    <row r="103" ht="15.75" customHeight="1" s="77"/>
    <row r="104" ht="15.75" customHeight="1" s="77"/>
    <row r="105" ht="15.75" customHeight="1" s="77"/>
    <row r="106" ht="15.75" customHeight="1" s="77"/>
    <row r="107" ht="15.75" customHeight="1" s="77"/>
    <row r="108" ht="15.75" customHeight="1" s="77"/>
    <row r="109" ht="15.75" customHeight="1" s="77"/>
    <row r="110" ht="15.75" customHeight="1" s="77"/>
    <row r="111" ht="15.75" customHeight="1" s="77"/>
    <row r="112" ht="15.75" customHeight="1" s="77"/>
    <row r="113" ht="15.75" customHeight="1" s="77"/>
    <row r="114" ht="15.75" customHeight="1" s="77"/>
    <row r="115" ht="15.75" customHeight="1" s="77"/>
    <row r="116" ht="15.75" customHeight="1" s="77"/>
    <row r="117" ht="15.75" customHeight="1" s="77"/>
    <row r="118" ht="15.75" customHeight="1" s="77"/>
    <row r="119" ht="15.75" customHeight="1" s="77"/>
    <row r="120" ht="15.75" customHeight="1" s="77"/>
    <row r="121" ht="15.75" customHeight="1" s="77"/>
    <row r="122" ht="15.75" customHeight="1" s="77"/>
    <row r="123" ht="15.75" customHeight="1" s="77"/>
    <row r="124" ht="15.75" customHeight="1" s="77"/>
    <row r="125" ht="15.75" customHeight="1" s="77"/>
    <row r="126" ht="15.75" customHeight="1" s="77"/>
    <row r="127" ht="15.75" customHeight="1" s="77"/>
    <row r="128" ht="15.75" customHeight="1" s="77"/>
    <row r="129" ht="15.75" customHeight="1" s="77"/>
    <row r="130" ht="15.75" customHeight="1" s="77"/>
    <row r="131" ht="15.75" customHeight="1" s="77"/>
    <row r="132" ht="15.75" customHeight="1" s="77"/>
    <row r="133" ht="15.75" customHeight="1" s="77"/>
    <row r="134" ht="15.75" customHeight="1" s="77"/>
    <row r="135" ht="15.75" customHeight="1" s="77"/>
    <row r="136" ht="15.75" customHeight="1" s="77"/>
    <row r="137" ht="15.75" customHeight="1" s="77"/>
    <row r="138" ht="15.75" customHeight="1" s="77"/>
    <row r="139" ht="15.75" customHeight="1" s="77"/>
    <row r="140" ht="15.75" customHeight="1" s="77"/>
    <row r="141" ht="15.75" customHeight="1" s="77"/>
    <row r="142" ht="15.75" customHeight="1" s="77"/>
    <row r="143" ht="15.75" customHeight="1" s="77"/>
    <row r="144" ht="15.75" customHeight="1" s="77"/>
    <row r="145" ht="15.75" customHeight="1" s="77"/>
    <row r="146" ht="15.75" customHeight="1" s="77"/>
    <row r="147" ht="15.75" customHeight="1" s="77"/>
    <row r="148" ht="15.75" customHeight="1" s="77"/>
    <row r="149" ht="15.75" customHeight="1" s="77"/>
    <row r="150" ht="15.75" customHeight="1" s="77"/>
    <row r="151" ht="15.75" customHeight="1" s="77"/>
    <row r="152" ht="15.75" customHeight="1" s="77"/>
    <row r="153" ht="15.75" customHeight="1" s="77"/>
    <row r="154" ht="15.75" customHeight="1" s="77"/>
    <row r="155" ht="15.75" customHeight="1" s="77"/>
    <row r="156" ht="15.75" customHeight="1" s="77"/>
    <row r="157" ht="15.75" customHeight="1" s="77"/>
    <row r="158" ht="15.75" customHeight="1" s="77"/>
    <row r="159" ht="15.75" customHeight="1" s="77"/>
    <row r="160" ht="15.75" customHeight="1" s="77"/>
    <row r="161" ht="15.75" customHeight="1" s="77"/>
    <row r="162" ht="15.75" customHeight="1" s="77"/>
    <row r="163" ht="15.75" customHeight="1" s="77"/>
    <row r="164" ht="15.75" customHeight="1" s="77"/>
    <row r="165" ht="15.75" customHeight="1" s="77"/>
    <row r="166" ht="15.75" customHeight="1" s="77"/>
    <row r="167" ht="15.75" customHeight="1" s="77"/>
    <row r="168" ht="15.75" customHeight="1" s="77"/>
    <row r="169" ht="15.75" customHeight="1" s="77"/>
    <row r="170" ht="15.75" customHeight="1" s="77"/>
    <row r="171" ht="15.75" customHeight="1" s="77"/>
    <row r="172" ht="15.75" customHeight="1" s="77"/>
    <row r="173" ht="15.75" customHeight="1" s="77"/>
    <row r="174" ht="15.75" customHeight="1" s="77"/>
    <row r="175" ht="15.75" customHeight="1" s="77"/>
    <row r="176" ht="15.75" customHeight="1" s="77"/>
    <row r="177" ht="15.75" customHeight="1" s="77"/>
    <row r="178" ht="15.75" customHeight="1" s="77"/>
    <row r="179" ht="15.75" customHeight="1" s="77"/>
    <row r="180" ht="15.75" customHeight="1" s="77"/>
    <row r="181" ht="15.75" customHeight="1" s="77"/>
    <row r="182" ht="15.75" customHeight="1" s="77"/>
    <row r="183" ht="15.75" customHeight="1" s="77"/>
    <row r="184" ht="15.75" customHeight="1" s="77"/>
    <row r="185" ht="15.75" customHeight="1" s="77"/>
    <row r="186" ht="15.75" customHeight="1" s="77"/>
    <row r="187" ht="15.75" customHeight="1" s="77"/>
    <row r="188" ht="15.75" customHeight="1" s="77"/>
    <row r="189" ht="15.75" customHeight="1" s="77"/>
    <row r="190" ht="15.75" customHeight="1" s="77"/>
    <row r="191" ht="15.75" customHeight="1" s="77"/>
    <row r="192" ht="15.75" customHeight="1" s="77"/>
    <row r="193" ht="15.75" customHeight="1" s="77"/>
    <row r="194" ht="15.75" customHeight="1" s="77"/>
    <row r="195" ht="15.75" customHeight="1" s="77"/>
    <row r="196" ht="15.75" customHeight="1" s="77"/>
    <row r="197" ht="15.75" customHeight="1" s="77"/>
    <row r="198" ht="15.75" customHeight="1" s="77"/>
    <row r="199" ht="15.75" customHeight="1" s="77"/>
    <row r="200" ht="15.75" customHeight="1" s="77"/>
    <row r="201" ht="15.75" customHeight="1" s="77"/>
    <row r="202" ht="15.75" customHeight="1" s="77"/>
    <row r="203" ht="15.75" customHeight="1" s="77"/>
    <row r="204" ht="15.75" customHeight="1" s="77"/>
    <row r="205" ht="15.75" customHeight="1" s="77"/>
    <row r="206" ht="15.75" customHeight="1" s="77"/>
    <row r="207" ht="15.75" customHeight="1" s="77"/>
    <row r="208" ht="15.75" customHeight="1" s="77"/>
    <row r="209" ht="15.75" customHeight="1" s="77"/>
    <row r="210" ht="15.75" customHeight="1" s="77"/>
    <row r="211" ht="15.75" customHeight="1" s="77"/>
    <row r="212" ht="15.75" customHeight="1" s="77"/>
    <row r="213" ht="15.75" customHeight="1" s="77"/>
    <row r="214" ht="15.75" customHeight="1" s="77"/>
    <row r="215" ht="15.75" customHeight="1" s="77"/>
    <row r="216" ht="15.75" customHeight="1" s="77"/>
    <row r="217" ht="15.75" customHeight="1" s="77"/>
    <row r="218" ht="15.75" customHeight="1" s="77"/>
    <row r="219" ht="15.75" customHeight="1" s="77"/>
    <row r="220" ht="15.75" customHeight="1" s="77"/>
    <row r="221" ht="15.75" customHeight="1" s="77"/>
    <row r="222" ht="15.75" customHeight="1" s="77"/>
    <row r="223" ht="15.75" customHeight="1" s="77"/>
    <row r="224" ht="15.75" customHeight="1" s="77"/>
    <row r="225" ht="15.75" customHeight="1" s="77"/>
    <row r="226" ht="15.75" customHeight="1" s="77"/>
    <row r="227" ht="15.75" customHeight="1" s="77"/>
    <row r="228" ht="15.75" customHeight="1" s="77"/>
    <row r="229" ht="15.75" customHeight="1" s="77"/>
    <row r="230" ht="15.75" customHeight="1" s="77"/>
    <row r="231" ht="15.75" customHeight="1" s="77"/>
    <row r="232" ht="15.75" customHeight="1" s="77"/>
    <row r="233" ht="15.75" customHeight="1" s="77"/>
    <row r="234" ht="15.75" customHeight="1" s="77"/>
    <row r="235" ht="15.75" customHeight="1" s="77"/>
    <row r="236" ht="15.75" customHeight="1" s="77"/>
    <row r="237" ht="15.75" customHeight="1" s="77"/>
    <row r="238" ht="15.75" customHeight="1" s="77"/>
    <row r="239" ht="15.75" customHeight="1" s="77"/>
    <row r="240" ht="15.75" customHeight="1" s="77"/>
    <row r="241" ht="15.75" customHeight="1" s="77"/>
    <row r="242" ht="15.75" customHeight="1" s="77"/>
    <row r="243" ht="15.75" customHeight="1" s="77"/>
    <row r="244" ht="15.75" customHeight="1" s="77"/>
    <row r="245" ht="15.75" customHeight="1" s="77"/>
    <row r="246" ht="15.75" customHeight="1" s="77"/>
    <row r="247" ht="15.75" customHeight="1" s="77"/>
    <row r="248" ht="15.75" customHeight="1" s="77"/>
    <row r="249" ht="15.75" customHeight="1" s="77"/>
    <row r="250" ht="15.75" customHeight="1" s="77"/>
    <row r="251" ht="15.75" customHeight="1" s="77"/>
    <row r="252" ht="15.75" customHeight="1" s="77"/>
    <row r="253" ht="15.75" customHeight="1" s="77"/>
    <row r="254" ht="15.75" customHeight="1" s="77"/>
    <row r="255" ht="15.75" customHeight="1" s="77"/>
    <row r="256" ht="15.75" customHeight="1" s="77"/>
    <row r="257" ht="15.75" customHeight="1" s="77"/>
    <row r="258" ht="15.75" customHeight="1" s="77"/>
    <row r="259" ht="15.75" customHeight="1" s="77"/>
    <row r="260" ht="15.75" customHeight="1" s="77"/>
    <row r="261" ht="15.75" customHeight="1" s="77"/>
    <row r="262" ht="15.75" customHeight="1" s="77"/>
    <row r="263" ht="15.75" customHeight="1" s="77"/>
    <row r="264" ht="15.75" customHeight="1" s="77"/>
    <row r="265" ht="15.75" customHeight="1" s="77"/>
    <row r="266" ht="15.75" customHeight="1" s="77"/>
    <row r="267" ht="15.75" customHeight="1" s="77"/>
    <row r="268" ht="15.75" customHeight="1" s="77"/>
    <row r="269" ht="15.75" customHeight="1" s="77"/>
    <row r="270" ht="15.75" customHeight="1" s="77"/>
    <row r="271" ht="15.75" customHeight="1" s="77"/>
    <row r="272" ht="15.75" customHeight="1" s="77"/>
    <row r="273" ht="15.75" customHeight="1" s="77"/>
    <row r="274" ht="15.75" customHeight="1" s="77"/>
    <row r="275" ht="15.75" customHeight="1" s="77"/>
    <row r="276" ht="15.75" customHeight="1" s="77"/>
    <row r="277" ht="15.75" customHeight="1" s="77"/>
    <row r="278" ht="15.75" customHeight="1" s="77"/>
    <row r="279" ht="15.75" customHeight="1" s="77"/>
    <row r="280" ht="15.75" customHeight="1" s="77"/>
    <row r="281" ht="15.75" customHeight="1" s="77"/>
    <row r="282" ht="15.75" customHeight="1" s="77"/>
    <row r="283" ht="15.75" customHeight="1" s="77"/>
    <row r="284" ht="15.75" customHeight="1" s="77"/>
    <row r="285" ht="15.75" customHeight="1" s="77"/>
    <row r="286" ht="15.75" customHeight="1" s="77"/>
    <row r="287" ht="15.75" customHeight="1" s="77"/>
    <row r="288" ht="15.75" customHeight="1" s="77"/>
    <row r="289" ht="15.75" customHeight="1" s="77"/>
    <row r="290" ht="15.75" customHeight="1" s="77"/>
    <row r="291" ht="15.75" customHeight="1" s="77"/>
    <row r="292" ht="15.75" customHeight="1" s="77"/>
    <row r="293" ht="15.75" customHeight="1" s="77"/>
    <row r="294" ht="15.75" customHeight="1" s="77"/>
    <row r="295" ht="15.75" customHeight="1" s="77"/>
    <row r="296" ht="15.75" customHeight="1" s="77"/>
    <row r="297" ht="15.75" customHeight="1" s="77"/>
    <row r="298" ht="15.75" customHeight="1" s="77"/>
    <row r="299" ht="15.75" customHeight="1" s="77"/>
    <row r="300" ht="15.75" customHeight="1" s="77"/>
    <row r="301" ht="15.75" customHeight="1" s="77"/>
    <row r="302" ht="15.75" customHeight="1" s="77"/>
    <row r="303" ht="15.75" customHeight="1" s="77"/>
    <row r="304" ht="15.75" customHeight="1" s="77"/>
    <row r="305" ht="15.75" customHeight="1" s="77"/>
    <row r="306" ht="15.75" customHeight="1" s="77"/>
    <row r="307" ht="15.75" customHeight="1" s="77"/>
    <row r="308" ht="15.75" customHeight="1" s="77"/>
    <row r="309" ht="15.75" customHeight="1" s="77"/>
    <row r="310" ht="15.75" customHeight="1" s="77"/>
    <row r="311" ht="15.75" customHeight="1" s="77"/>
    <row r="312" ht="15.75" customHeight="1" s="77"/>
    <row r="313" ht="15.75" customHeight="1" s="77"/>
    <row r="314" ht="15.75" customHeight="1" s="77"/>
    <row r="315" ht="15.75" customHeight="1" s="77"/>
    <row r="316" ht="15.75" customHeight="1" s="77"/>
    <row r="317" ht="15.75" customHeight="1" s="77"/>
    <row r="318" ht="15.75" customHeight="1" s="77"/>
    <row r="319" ht="15.75" customHeight="1" s="77"/>
    <row r="320" ht="15.75" customHeight="1" s="77"/>
    <row r="321" ht="15.75" customHeight="1" s="77"/>
    <row r="322" ht="15.75" customHeight="1" s="77"/>
    <row r="323" ht="15.75" customHeight="1" s="77"/>
    <row r="324" ht="15.75" customHeight="1" s="77"/>
    <row r="325" ht="15.75" customHeight="1" s="77"/>
    <row r="326" ht="15.75" customHeight="1" s="77"/>
    <row r="327" ht="15.75" customHeight="1" s="77"/>
    <row r="328" ht="15.75" customHeight="1" s="77"/>
    <row r="329" ht="15.75" customHeight="1" s="77"/>
    <row r="330" ht="15.75" customHeight="1" s="77"/>
    <row r="331" ht="15.75" customHeight="1" s="77"/>
    <row r="332" ht="15.75" customHeight="1" s="77"/>
    <row r="333" ht="15.75" customHeight="1" s="77"/>
    <row r="334" ht="15.75" customHeight="1" s="77"/>
    <row r="335" ht="15.75" customHeight="1" s="77"/>
    <row r="336" ht="15.75" customHeight="1" s="77"/>
    <row r="337" ht="15.75" customHeight="1" s="77"/>
    <row r="338" ht="15.75" customHeight="1" s="77"/>
    <row r="339" ht="15.75" customHeight="1" s="77"/>
    <row r="340" ht="15.75" customHeight="1" s="77"/>
    <row r="341" ht="15.75" customHeight="1" s="77"/>
    <row r="342" ht="15.75" customHeight="1" s="77"/>
    <row r="343" ht="15.75" customHeight="1" s="77"/>
    <row r="344" ht="15.75" customHeight="1" s="77"/>
    <row r="345" ht="15.75" customHeight="1" s="77"/>
    <row r="346" ht="15.75" customHeight="1" s="77"/>
    <row r="347" ht="15.75" customHeight="1" s="77"/>
    <row r="348" ht="15.75" customHeight="1" s="77"/>
    <row r="349" ht="15.75" customHeight="1" s="77"/>
    <row r="350" ht="15.75" customHeight="1" s="77"/>
    <row r="351" ht="15.75" customHeight="1" s="77"/>
    <row r="352" ht="15.75" customHeight="1" s="77"/>
    <row r="353" ht="15.75" customHeight="1" s="77"/>
    <row r="354" ht="15.75" customHeight="1" s="77"/>
    <row r="355" ht="15.75" customHeight="1" s="77"/>
    <row r="356" ht="15.75" customHeight="1" s="77"/>
    <row r="357" ht="15.75" customHeight="1" s="77"/>
    <row r="358" ht="15.75" customHeight="1" s="77"/>
    <row r="359" ht="15.75" customHeight="1" s="77"/>
    <row r="360" ht="15.75" customHeight="1" s="77"/>
    <row r="361" ht="15.75" customHeight="1" s="77"/>
    <row r="362" ht="15.75" customHeight="1" s="77"/>
    <row r="363" ht="15.75" customHeight="1" s="77"/>
    <row r="364" ht="15.75" customHeight="1" s="77"/>
    <row r="365" ht="15.75" customHeight="1" s="77"/>
    <row r="366" ht="15.75" customHeight="1" s="77"/>
    <row r="367" ht="15.75" customHeight="1" s="77"/>
    <row r="368" ht="15.75" customHeight="1" s="77"/>
    <row r="369" ht="15.75" customHeight="1" s="77"/>
    <row r="370" ht="15.75" customHeight="1" s="77"/>
    <row r="371" ht="15.75" customHeight="1" s="77"/>
    <row r="372" ht="15.75" customHeight="1" s="77"/>
    <row r="373" ht="15.75" customHeight="1" s="77"/>
    <row r="374" ht="15.75" customHeight="1" s="77"/>
    <row r="375" ht="15.75" customHeight="1" s="77"/>
    <row r="376" ht="15.75" customHeight="1" s="77"/>
    <row r="377" ht="15.75" customHeight="1" s="77"/>
    <row r="378" ht="15.75" customHeight="1" s="77"/>
    <row r="379" ht="15.75" customHeight="1" s="77"/>
    <row r="380" ht="15.75" customHeight="1" s="77"/>
    <row r="381" ht="15.75" customHeight="1" s="77"/>
    <row r="382" ht="15.75" customHeight="1" s="77"/>
    <row r="383" ht="15.75" customHeight="1" s="77"/>
    <row r="384" ht="15.75" customHeight="1" s="77"/>
    <row r="385" ht="15.75" customHeight="1" s="77"/>
    <row r="386" ht="15.75" customHeight="1" s="77"/>
    <row r="387" ht="15.75" customHeight="1" s="77"/>
    <row r="388" ht="15.75" customHeight="1" s="77"/>
    <row r="389" ht="15.75" customHeight="1" s="77"/>
    <row r="390" ht="15.75" customHeight="1" s="77"/>
    <row r="391" ht="15.75" customHeight="1" s="77"/>
    <row r="392" ht="15.75" customHeight="1" s="77"/>
    <row r="393" ht="15.75" customHeight="1" s="77"/>
    <row r="394" ht="15.75" customHeight="1" s="77"/>
    <row r="395" ht="15.75" customHeight="1" s="77"/>
    <row r="396" ht="15.75" customHeight="1" s="77"/>
    <row r="397" ht="15.75" customHeight="1" s="77"/>
    <row r="398" ht="15.75" customHeight="1" s="77"/>
    <row r="399" ht="15.75" customHeight="1" s="77"/>
    <row r="400" ht="15.75" customHeight="1" s="77"/>
    <row r="401" ht="15.75" customHeight="1" s="77"/>
    <row r="402" ht="15.75" customHeight="1" s="77"/>
    <row r="403" ht="15.75" customHeight="1" s="77"/>
    <row r="404" ht="15.75" customHeight="1" s="77"/>
    <row r="405" ht="15.75" customHeight="1" s="77"/>
    <row r="406" ht="15.75" customHeight="1" s="77"/>
    <row r="407" ht="15.75" customHeight="1" s="77"/>
    <row r="408" ht="15.75" customHeight="1" s="77"/>
    <row r="409" ht="15.75" customHeight="1" s="77"/>
    <row r="410" ht="15.75" customHeight="1" s="77"/>
    <row r="411" ht="15.75" customHeight="1" s="77"/>
    <row r="412" ht="15.75" customHeight="1" s="77"/>
    <row r="413" ht="15.75" customHeight="1" s="77"/>
    <row r="414" ht="15.75" customHeight="1" s="77"/>
    <row r="415" ht="15.75" customHeight="1" s="77"/>
    <row r="416" ht="15.75" customHeight="1" s="77"/>
    <row r="417" ht="15.75" customHeight="1" s="77"/>
    <row r="418" ht="15.75" customHeight="1" s="77"/>
    <row r="419" ht="15.75" customHeight="1" s="77"/>
    <row r="420" ht="15.75" customHeight="1" s="77"/>
    <row r="421" ht="15.75" customHeight="1" s="77"/>
    <row r="422" ht="15.75" customHeight="1" s="77"/>
    <row r="423" ht="15.75" customHeight="1" s="77"/>
    <row r="424" ht="15.75" customHeight="1" s="77"/>
    <row r="425" ht="15.75" customHeight="1" s="77"/>
    <row r="426" ht="15.75" customHeight="1" s="77"/>
    <row r="427" ht="15.75" customHeight="1" s="77"/>
    <row r="428" ht="15.75" customHeight="1" s="77"/>
    <row r="429" ht="15.75" customHeight="1" s="77"/>
    <row r="430" ht="15.75" customHeight="1" s="77"/>
    <row r="431" ht="15.75" customHeight="1" s="77"/>
    <row r="432" ht="15.75" customHeight="1" s="77"/>
    <row r="433" ht="15.75" customHeight="1" s="77"/>
    <row r="434" ht="15.75" customHeight="1" s="77"/>
    <row r="435" ht="15.75" customHeight="1" s="77"/>
    <row r="436" ht="15.75" customHeight="1" s="77"/>
    <row r="437" ht="15.75" customHeight="1" s="77"/>
    <row r="438" ht="15.75" customHeight="1" s="77"/>
    <row r="439" ht="15.75" customHeight="1" s="77"/>
    <row r="440" ht="15.75" customHeight="1" s="77"/>
    <row r="441" ht="15.75" customHeight="1" s="77"/>
    <row r="442" ht="15.75" customHeight="1" s="77"/>
    <row r="443" ht="15.75" customHeight="1" s="77"/>
    <row r="444" ht="15.75" customHeight="1" s="77"/>
    <row r="445" ht="15.75" customHeight="1" s="77"/>
    <row r="446" ht="15.75" customHeight="1" s="77"/>
    <row r="447" ht="15.75" customHeight="1" s="77"/>
    <row r="448" ht="15.75" customHeight="1" s="77"/>
    <row r="449" ht="15.75" customHeight="1" s="77"/>
    <row r="450" ht="15.75" customHeight="1" s="77"/>
    <row r="451" ht="15.75" customHeight="1" s="77"/>
    <row r="452" ht="15.75" customHeight="1" s="77"/>
    <row r="453" ht="15.75" customHeight="1" s="77"/>
    <row r="454" ht="15.75" customHeight="1" s="77"/>
    <row r="455" ht="15.75" customHeight="1" s="77"/>
    <row r="456" ht="15.75" customHeight="1" s="77"/>
    <row r="457" ht="15.75" customHeight="1" s="77"/>
    <row r="458" ht="15.75" customHeight="1" s="77"/>
    <row r="459" ht="15.75" customHeight="1" s="77"/>
    <row r="460" ht="15.75" customHeight="1" s="77"/>
    <row r="461" ht="15.75" customHeight="1" s="77"/>
    <row r="462" ht="15.75" customHeight="1" s="77"/>
    <row r="463" ht="15.75" customHeight="1" s="77"/>
    <row r="464" ht="15.75" customHeight="1" s="77"/>
    <row r="465" ht="15.75" customHeight="1" s="77"/>
    <row r="466" ht="15.75" customHeight="1" s="77"/>
    <row r="467" ht="15.75" customHeight="1" s="77"/>
    <row r="468" ht="15.75" customHeight="1" s="77"/>
    <row r="469" ht="15.75" customHeight="1" s="77"/>
    <row r="470" ht="15.75" customHeight="1" s="77"/>
    <row r="471" ht="15.75" customHeight="1" s="77"/>
    <row r="472" ht="15.75" customHeight="1" s="77"/>
    <row r="473" ht="15.75" customHeight="1" s="77"/>
    <row r="474" ht="15.75" customHeight="1" s="77"/>
    <row r="475" ht="15.75" customHeight="1" s="77"/>
    <row r="476" ht="15.75" customHeight="1" s="77"/>
    <row r="477" ht="15.75" customHeight="1" s="77"/>
    <row r="478" ht="15.75" customHeight="1" s="77"/>
    <row r="479" ht="15.75" customHeight="1" s="77"/>
    <row r="480" ht="15.75" customHeight="1" s="77"/>
    <row r="481" ht="15.75" customHeight="1" s="77"/>
    <row r="482" ht="15.75" customHeight="1" s="77"/>
    <row r="483" ht="15.75" customHeight="1" s="77"/>
    <row r="484" ht="15.75" customHeight="1" s="77"/>
    <row r="485" ht="15.75" customHeight="1" s="77"/>
    <row r="486" ht="15.75" customHeight="1" s="77"/>
    <row r="487" ht="15.75" customHeight="1" s="77"/>
    <row r="488" ht="15.75" customHeight="1" s="77"/>
    <row r="489" ht="15.75" customHeight="1" s="77"/>
    <row r="490" ht="15.75" customHeight="1" s="77"/>
    <row r="491" ht="15.75" customHeight="1" s="77"/>
    <row r="492" ht="15.75" customHeight="1" s="77"/>
    <row r="493" ht="15.75" customHeight="1" s="77"/>
    <row r="494" ht="15.75" customHeight="1" s="77"/>
    <row r="495" ht="15.75" customHeight="1" s="77"/>
    <row r="496" ht="15.75" customHeight="1" s="77"/>
    <row r="497" ht="15.75" customHeight="1" s="77"/>
    <row r="498" ht="15.75" customHeight="1" s="77"/>
    <row r="499" ht="15.75" customHeight="1" s="77"/>
    <row r="500" ht="15.75" customHeight="1" s="77"/>
    <row r="501" ht="15.75" customHeight="1" s="77"/>
    <row r="502" ht="15.75" customHeight="1" s="77"/>
    <row r="503" ht="15.75" customHeight="1" s="77"/>
    <row r="504" ht="15.75" customHeight="1" s="77"/>
    <row r="505" ht="15.75" customHeight="1" s="77"/>
    <row r="506" ht="15.75" customHeight="1" s="77"/>
    <row r="507" ht="15.75" customHeight="1" s="77"/>
    <row r="508" ht="15.75" customHeight="1" s="77"/>
    <row r="509" ht="15.75" customHeight="1" s="77"/>
    <row r="510" ht="15.75" customHeight="1" s="77"/>
    <row r="511" ht="15.75" customHeight="1" s="77"/>
    <row r="512" ht="15.75" customHeight="1" s="77"/>
    <row r="513" ht="15.75" customHeight="1" s="77"/>
    <row r="514" ht="15.75" customHeight="1" s="77"/>
    <row r="515" ht="15.75" customHeight="1" s="77"/>
    <row r="516" ht="15.75" customHeight="1" s="77"/>
    <row r="517" ht="15.75" customHeight="1" s="77"/>
    <row r="518" ht="15.75" customHeight="1" s="77"/>
    <row r="519" ht="15.75" customHeight="1" s="77"/>
    <row r="520" ht="15.75" customHeight="1" s="77"/>
    <row r="521" ht="15.75" customHeight="1" s="77"/>
    <row r="522" ht="15.75" customHeight="1" s="77"/>
    <row r="523" ht="15.75" customHeight="1" s="77"/>
    <row r="524" ht="15.75" customHeight="1" s="77"/>
    <row r="525" ht="15.75" customHeight="1" s="77"/>
    <row r="526" ht="15.75" customHeight="1" s="77"/>
    <row r="527" ht="15.75" customHeight="1" s="77"/>
    <row r="528" ht="15.75" customHeight="1" s="77"/>
    <row r="529" ht="15.75" customHeight="1" s="77"/>
    <row r="530" ht="15.75" customHeight="1" s="77"/>
    <row r="531" ht="15.75" customHeight="1" s="77"/>
    <row r="532" ht="15.75" customHeight="1" s="77"/>
    <row r="533" ht="15.75" customHeight="1" s="77"/>
    <row r="534" ht="15.75" customHeight="1" s="77"/>
    <row r="535" ht="15.75" customHeight="1" s="77"/>
    <row r="536" ht="15.75" customHeight="1" s="77"/>
    <row r="537" ht="15.75" customHeight="1" s="77"/>
    <row r="538" ht="15.75" customHeight="1" s="77"/>
    <row r="539" ht="15.75" customHeight="1" s="77"/>
    <row r="540" ht="15.75" customHeight="1" s="77"/>
    <row r="541" ht="15.75" customHeight="1" s="77"/>
    <row r="542" ht="15.75" customHeight="1" s="77"/>
    <row r="543" ht="15.75" customHeight="1" s="77"/>
    <row r="544" ht="15.75" customHeight="1" s="77"/>
    <row r="545" ht="15.75" customHeight="1" s="77"/>
    <row r="546" ht="15.75" customHeight="1" s="77"/>
    <row r="547" ht="15.75" customHeight="1" s="77"/>
    <row r="548" ht="15.75" customHeight="1" s="77"/>
    <row r="549" ht="15.75" customHeight="1" s="77"/>
    <row r="550" ht="15.75" customHeight="1" s="77"/>
    <row r="551" ht="15.75" customHeight="1" s="77"/>
    <row r="552" ht="15.75" customHeight="1" s="77"/>
    <row r="553" ht="15.75" customHeight="1" s="77"/>
    <row r="554" ht="15.75" customHeight="1" s="77"/>
    <row r="555" ht="15.75" customHeight="1" s="77"/>
    <row r="556" ht="15.75" customHeight="1" s="77"/>
    <row r="557" ht="15.75" customHeight="1" s="77"/>
    <row r="558" ht="15.75" customHeight="1" s="77"/>
    <row r="559" ht="15.75" customHeight="1" s="77"/>
    <row r="560" ht="15.75" customHeight="1" s="77"/>
    <row r="561" ht="15.75" customHeight="1" s="77"/>
    <row r="562" ht="15.75" customHeight="1" s="77"/>
    <row r="563" ht="15.75" customHeight="1" s="77"/>
    <row r="564" ht="15.75" customHeight="1" s="77"/>
    <row r="565" ht="15.75" customHeight="1" s="77"/>
    <row r="566" ht="15.75" customHeight="1" s="77"/>
    <row r="567" ht="15.75" customHeight="1" s="77"/>
    <row r="568" ht="15.75" customHeight="1" s="77"/>
    <row r="569" ht="15.75" customHeight="1" s="77"/>
    <row r="570" ht="15.75" customHeight="1" s="77"/>
    <row r="571" ht="15.75" customHeight="1" s="77"/>
    <row r="572" ht="15.75" customHeight="1" s="77"/>
    <row r="573" ht="15.75" customHeight="1" s="77"/>
    <row r="574" ht="15.75" customHeight="1" s="77"/>
    <row r="575" ht="15.75" customHeight="1" s="77"/>
    <row r="576" ht="15.75" customHeight="1" s="77"/>
    <row r="577" ht="15.75" customHeight="1" s="77"/>
    <row r="578" ht="15.75" customHeight="1" s="77"/>
    <row r="579" ht="15.75" customHeight="1" s="77"/>
    <row r="580" ht="15.75" customHeight="1" s="77"/>
    <row r="581" ht="15.75" customHeight="1" s="77"/>
    <row r="582" ht="15.75" customHeight="1" s="77"/>
    <row r="583" ht="15.75" customHeight="1" s="77"/>
    <row r="584" ht="15.75" customHeight="1" s="77"/>
    <row r="585" ht="15.75" customHeight="1" s="77"/>
    <row r="586" ht="15.75" customHeight="1" s="77"/>
    <row r="587" ht="15.75" customHeight="1" s="77"/>
    <row r="588" ht="15.75" customHeight="1" s="77"/>
    <row r="589" ht="15.75" customHeight="1" s="77"/>
    <row r="590" ht="15.75" customHeight="1" s="77"/>
    <row r="591" ht="15.75" customHeight="1" s="77"/>
    <row r="592" ht="15.75" customHeight="1" s="77"/>
    <row r="593" ht="15.75" customHeight="1" s="77"/>
    <row r="594" ht="15.75" customHeight="1" s="77"/>
    <row r="595" ht="15.75" customHeight="1" s="77"/>
    <row r="596" ht="15.75" customHeight="1" s="77"/>
    <row r="597" ht="15.75" customHeight="1" s="77"/>
    <row r="598" ht="15.75" customHeight="1" s="77"/>
    <row r="599" ht="15.75" customHeight="1" s="77"/>
    <row r="600" ht="15.75" customHeight="1" s="77"/>
    <row r="601" ht="15.75" customHeight="1" s="77"/>
    <row r="602" ht="15.75" customHeight="1" s="77"/>
    <row r="603" ht="15.75" customHeight="1" s="77"/>
    <row r="604" ht="15.75" customHeight="1" s="77"/>
    <row r="605" ht="15.75" customHeight="1" s="77"/>
    <row r="606" ht="15.75" customHeight="1" s="77"/>
    <row r="607" ht="15.75" customHeight="1" s="77"/>
    <row r="608" ht="15.75" customHeight="1" s="77"/>
    <row r="609" ht="15.75" customHeight="1" s="77"/>
    <row r="610" ht="15.75" customHeight="1" s="77"/>
    <row r="611" ht="15.75" customHeight="1" s="77"/>
    <row r="612" ht="15.75" customHeight="1" s="77"/>
    <row r="613" ht="15.75" customHeight="1" s="77"/>
    <row r="614" ht="15.75" customHeight="1" s="77"/>
    <row r="615" ht="15.75" customHeight="1" s="77"/>
    <row r="616" ht="15.75" customHeight="1" s="77"/>
    <row r="617" ht="15.75" customHeight="1" s="77"/>
    <row r="618" ht="15.75" customHeight="1" s="77"/>
    <row r="619" ht="15.75" customHeight="1" s="77"/>
    <row r="620" ht="15.75" customHeight="1" s="77"/>
    <row r="621" ht="15.75" customHeight="1" s="77"/>
    <row r="622" ht="15.75" customHeight="1" s="77"/>
    <row r="623" ht="15.75" customHeight="1" s="77"/>
    <row r="624" ht="15.75" customHeight="1" s="77"/>
    <row r="625" ht="15.75" customHeight="1" s="77"/>
    <row r="626" ht="15.75" customHeight="1" s="77"/>
    <row r="627" ht="15.75" customHeight="1" s="77"/>
    <row r="628" ht="15.75" customHeight="1" s="77"/>
    <row r="629" ht="15.75" customHeight="1" s="77"/>
    <row r="630" ht="15.75" customHeight="1" s="77"/>
    <row r="631" ht="15.75" customHeight="1" s="77"/>
    <row r="632" ht="15.75" customHeight="1" s="77"/>
    <row r="633" ht="15.75" customHeight="1" s="77"/>
    <row r="634" ht="15.75" customHeight="1" s="77"/>
    <row r="635" ht="15.75" customHeight="1" s="77"/>
    <row r="636" ht="15.75" customHeight="1" s="77"/>
    <row r="637" ht="15.75" customHeight="1" s="77"/>
    <row r="638" ht="15.75" customHeight="1" s="77"/>
    <row r="639" ht="15.75" customHeight="1" s="77"/>
    <row r="640" ht="15.75" customHeight="1" s="77"/>
    <row r="641" ht="15.75" customHeight="1" s="77"/>
    <row r="642" ht="15.75" customHeight="1" s="77"/>
    <row r="643" ht="15.75" customHeight="1" s="77"/>
    <row r="644" ht="15.75" customHeight="1" s="77"/>
    <row r="645" ht="15.75" customHeight="1" s="77"/>
    <row r="646" ht="15.75" customHeight="1" s="77"/>
    <row r="647" ht="15.75" customHeight="1" s="77"/>
    <row r="648" ht="15.75" customHeight="1" s="77"/>
    <row r="649" ht="15.75" customHeight="1" s="77"/>
    <row r="650" ht="15.75" customHeight="1" s="77"/>
    <row r="651" ht="15.75" customHeight="1" s="77"/>
    <row r="652" ht="15.75" customHeight="1" s="77"/>
    <row r="653" ht="15.75" customHeight="1" s="77"/>
    <row r="654" ht="15.75" customHeight="1" s="77"/>
    <row r="655" ht="15.75" customHeight="1" s="77"/>
    <row r="656" ht="15.75" customHeight="1" s="77"/>
    <row r="657" ht="15.75" customHeight="1" s="77"/>
    <row r="658" ht="15.75" customHeight="1" s="77"/>
    <row r="659" ht="15.75" customHeight="1" s="77"/>
    <row r="660" ht="15.75" customHeight="1" s="77"/>
    <row r="661" ht="15.75" customHeight="1" s="77"/>
    <row r="662" ht="15.75" customHeight="1" s="77"/>
    <row r="663" ht="15.75" customHeight="1" s="77"/>
    <row r="664" ht="15.75" customHeight="1" s="77"/>
    <row r="665" ht="15.75" customHeight="1" s="77"/>
    <row r="666" ht="15.75" customHeight="1" s="77"/>
    <row r="667" ht="15.75" customHeight="1" s="77"/>
    <row r="668" ht="15.75" customHeight="1" s="77"/>
    <row r="669" ht="15.75" customHeight="1" s="77"/>
    <row r="670" ht="15.75" customHeight="1" s="77"/>
    <row r="671" ht="15.75" customHeight="1" s="77"/>
    <row r="672" ht="15.75" customHeight="1" s="77"/>
    <row r="673" ht="15.75" customHeight="1" s="77"/>
    <row r="674" ht="15.75" customHeight="1" s="77"/>
    <row r="675" ht="15.75" customHeight="1" s="77"/>
    <row r="676" ht="15.75" customHeight="1" s="77"/>
    <row r="677" ht="15.75" customHeight="1" s="77"/>
    <row r="678" ht="15.75" customHeight="1" s="77"/>
    <row r="679" ht="15.75" customHeight="1" s="77"/>
    <row r="680" ht="15.75" customHeight="1" s="77"/>
    <row r="681" ht="15.75" customHeight="1" s="77"/>
    <row r="682" ht="15.75" customHeight="1" s="77"/>
    <row r="683" ht="15.75" customHeight="1" s="77"/>
    <row r="684" ht="15.75" customHeight="1" s="77"/>
    <row r="685" ht="15.75" customHeight="1" s="77"/>
    <row r="686" ht="15.75" customHeight="1" s="77"/>
    <row r="687" ht="15.75" customHeight="1" s="77"/>
    <row r="688" ht="15.75" customHeight="1" s="77"/>
    <row r="689" ht="15.75" customHeight="1" s="77"/>
    <row r="690" ht="15.75" customHeight="1" s="77"/>
    <row r="691" ht="15.75" customHeight="1" s="77"/>
    <row r="692" ht="15.75" customHeight="1" s="77"/>
    <row r="693" ht="15.75" customHeight="1" s="77"/>
    <row r="694" ht="15.75" customHeight="1" s="77"/>
    <row r="695" ht="15.75" customHeight="1" s="77"/>
    <row r="696" ht="15.75" customHeight="1" s="77"/>
    <row r="697" ht="15.75" customHeight="1" s="77"/>
    <row r="698" ht="15.75" customHeight="1" s="77"/>
    <row r="699" ht="15.75" customHeight="1" s="77"/>
    <row r="700" ht="15.75" customHeight="1" s="77"/>
    <row r="701" ht="15.75" customHeight="1" s="77"/>
    <row r="702" ht="15.75" customHeight="1" s="77"/>
    <row r="703" ht="15.75" customHeight="1" s="77"/>
    <row r="704" ht="15.75" customHeight="1" s="77"/>
    <row r="705" ht="15.75" customHeight="1" s="77"/>
    <row r="706" ht="15.75" customHeight="1" s="77"/>
    <row r="707" ht="15.75" customHeight="1" s="77"/>
    <row r="708" ht="15.75" customHeight="1" s="77"/>
    <row r="709" ht="15.75" customHeight="1" s="77"/>
    <row r="710" ht="15.75" customHeight="1" s="77"/>
    <row r="711" ht="15.75" customHeight="1" s="77"/>
    <row r="712" ht="15.75" customHeight="1" s="77"/>
    <row r="713" ht="15.75" customHeight="1" s="77"/>
    <row r="714" ht="15.75" customHeight="1" s="77"/>
    <row r="715" ht="15.75" customHeight="1" s="77"/>
    <row r="716" ht="15.75" customHeight="1" s="77"/>
    <row r="717" ht="15.75" customHeight="1" s="77"/>
    <row r="718" ht="15.75" customHeight="1" s="77"/>
    <row r="719" ht="15.75" customHeight="1" s="77"/>
    <row r="720" ht="15.75" customHeight="1" s="77"/>
    <row r="721" ht="15.75" customHeight="1" s="77"/>
    <row r="722" ht="15.75" customHeight="1" s="77"/>
    <row r="723" ht="15.75" customHeight="1" s="77"/>
    <row r="724" ht="15.75" customHeight="1" s="77"/>
    <row r="725" ht="15.75" customHeight="1" s="77"/>
    <row r="726" ht="15.75" customHeight="1" s="77"/>
    <row r="727" ht="15.75" customHeight="1" s="77"/>
    <row r="728" ht="15.75" customHeight="1" s="77"/>
    <row r="729" ht="15.75" customHeight="1" s="77"/>
    <row r="730" ht="15.75" customHeight="1" s="77"/>
    <row r="731" ht="15.75" customHeight="1" s="77"/>
    <row r="732" ht="15.75" customHeight="1" s="77"/>
    <row r="733" ht="15.75" customHeight="1" s="77"/>
    <row r="734" ht="15.75" customHeight="1" s="77"/>
    <row r="735" ht="15.75" customHeight="1" s="77"/>
    <row r="736" ht="15.75" customHeight="1" s="77"/>
    <row r="737" ht="15.75" customHeight="1" s="77"/>
    <row r="738" ht="15.75" customHeight="1" s="77"/>
    <row r="739" ht="15.75" customHeight="1" s="77"/>
    <row r="740" ht="15.75" customHeight="1" s="77"/>
    <row r="741" ht="15.75" customHeight="1" s="77"/>
    <row r="742" ht="15.75" customHeight="1" s="77"/>
    <row r="743" ht="15.75" customHeight="1" s="77"/>
    <row r="744" ht="15.75" customHeight="1" s="77"/>
    <row r="745" ht="15.75" customHeight="1" s="77"/>
    <row r="746" ht="15.75" customHeight="1" s="77"/>
    <row r="747" ht="15.75" customHeight="1" s="77"/>
    <row r="748" ht="15.75" customHeight="1" s="77"/>
    <row r="749" ht="15.75" customHeight="1" s="77"/>
    <row r="750" ht="15.75" customHeight="1" s="77"/>
    <row r="751" ht="15.75" customHeight="1" s="77"/>
    <row r="752" ht="15.75" customHeight="1" s="77"/>
    <row r="753" ht="15.75" customHeight="1" s="77"/>
    <row r="754" ht="15.75" customHeight="1" s="77"/>
    <row r="755" ht="15.75" customHeight="1" s="77"/>
    <row r="756" ht="15.75" customHeight="1" s="77"/>
    <row r="757" ht="15.75" customHeight="1" s="77"/>
    <row r="758" ht="15.75" customHeight="1" s="77"/>
    <row r="759" ht="15.75" customHeight="1" s="77"/>
    <row r="760" ht="15.75" customHeight="1" s="77"/>
    <row r="761" ht="15.75" customHeight="1" s="77"/>
    <row r="762" ht="15.75" customHeight="1" s="77"/>
    <row r="763" ht="15.75" customHeight="1" s="77"/>
    <row r="764" ht="15.75" customHeight="1" s="77"/>
    <row r="765" ht="15.75" customHeight="1" s="77"/>
    <row r="766" ht="15.75" customHeight="1" s="77"/>
    <row r="767" ht="15.75" customHeight="1" s="77"/>
    <row r="768" ht="15.75" customHeight="1" s="77"/>
    <row r="769" ht="15.75" customHeight="1" s="77"/>
    <row r="770" ht="15.75" customHeight="1" s="77"/>
    <row r="771" ht="15.75" customHeight="1" s="77"/>
    <row r="772" ht="15.75" customHeight="1" s="77"/>
    <row r="773" ht="15.75" customHeight="1" s="77"/>
    <row r="774" ht="15.75" customHeight="1" s="77"/>
    <row r="775" ht="15.75" customHeight="1" s="77"/>
    <row r="776" ht="15.75" customHeight="1" s="77"/>
    <row r="777" ht="15.75" customHeight="1" s="77"/>
    <row r="778" ht="15.75" customHeight="1" s="77"/>
    <row r="779" ht="15.75" customHeight="1" s="77"/>
    <row r="780" ht="15.75" customHeight="1" s="77"/>
    <row r="781" ht="15.75" customHeight="1" s="77"/>
    <row r="782" ht="15.75" customHeight="1" s="77"/>
    <row r="783" ht="15.75" customHeight="1" s="77"/>
    <row r="784" ht="15.75" customHeight="1" s="77"/>
    <row r="785" ht="15.75" customHeight="1" s="77"/>
    <row r="786" ht="15.75" customHeight="1" s="77"/>
    <row r="787" ht="15.75" customHeight="1" s="77"/>
    <row r="788" ht="15.75" customHeight="1" s="77"/>
    <row r="789" ht="15.75" customHeight="1" s="77"/>
    <row r="790" ht="15.75" customHeight="1" s="77"/>
    <row r="791" ht="15.75" customHeight="1" s="77"/>
    <row r="792" ht="15.75" customHeight="1" s="77"/>
    <row r="793" ht="15.75" customHeight="1" s="77"/>
    <row r="794" ht="15.75" customHeight="1" s="77"/>
    <row r="795" ht="15.75" customHeight="1" s="77"/>
    <row r="796" ht="15.75" customHeight="1" s="77"/>
    <row r="797" ht="15.75" customHeight="1" s="77"/>
    <row r="798" ht="15.75" customHeight="1" s="77"/>
    <row r="799" ht="15.75" customHeight="1" s="77"/>
    <row r="800" ht="15.75" customHeight="1" s="77"/>
    <row r="801" ht="15.75" customHeight="1" s="77"/>
    <row r="802" ht="15.75" customHeight="1" s="77"/>
    <row r="803" ht="15.75" customHeight="1" s="77"/>
    <row r="804" ht="15.75" customHeight="1" s="77"/>
    <row r="805" ht="15.75" customHeight="1" s="77"/>
    <row r="806" ht="15.75" customHeight="1" s="77"/>
    <row r="807" ht="15.75" customHeight="1" s="77"/>
    <row r="808" ht="15.75" customHeight="1" s="77"/>
    <row r="809" ht="15.75" customHeight="1" s="77"/>
    <row r="810" ht="15.75" customHeight="1" s="77"/>
    <row r="811" ht="15.75" customHeight="1" s="77"/>
    <row r="812" ht="15.75" customHeight="1" s="77"/>
    <row r="813" ht="15.75" customHeight="1" s="77"/>
    <row r="814" ht="15.75" customHeight="1" s="77"/>
    <row r="815" ht="15.75" customHeight="1" s="77"/>
    <row r="816" ht="15.75" customHeight="1" s="77"/>
    <row r="817" ht="15.75" customHeight="1" s="77"/>
    <row r="818" ht="15.75" customHeight="1" s="77"/>
    <row r="819" ht="15.75" customHeight="1" s="77"/>
    <row r="820" ht="15.75" customHeight="1" s="77"/>
    <row r="821" ht="15.75" customHeight="1" s="77"/>
    <row r="822" ht="15.75" customHeight="1" s="77"/>
    <row r="823" ht="15.75" customHeight="1" s="77"/>
    <row r="824" ht="15.75" customHeight="1" s="77"/>
    <row r="825" ht="15.75" customHeight="1" s="77"/>
    <row r="826" ht="15.75" customHeight="1" s="77"/>
    <row r="827" ht="15.75" customHeight="1" s="77"/>
    <row r="828" ht="15.75" customHeight="1" s="77"/>
    <row r="829" ht="15.75" customHeight="1" s="77"/>
    <row r="830" ht="15.75" customHeight="1" s="77"/>
    <row r="831" ht="15.75" customHeight="1" s="77"/>
    <row r="832" ht="15.75" customHeight="1" s="77"/>
    <row r="833" ht="15.75" customHeight="1" s="77"/>
    <row r="834" ht="15.75" customHeight="1" s="77"/>
    <row r="835" ht="15.75" customHeight="1" s="77"/>
    <row r="836" ht="15.75" customHeight="1" s="77"/>
    <row r="837" ht="15.75" customHeight="1" s="77"/>
    <row r="838" ht="15.75" customHeight="1" s="77"/>
    <row r="839" ht="15.75" customHeight="1" s="77"/>
    <row r="840" ht="15.75" customHeight="1" s="77"/>
    <row r="841" ht="15.75" customHeight="1" s="77"/>
    <row r="842" ht="15.75" customHeight="1" s="77"/>
    <row r="843" ht="15.75" customHeight="1" s="77"/>
    <row r="844" ht="15.75" customHeight="1" s="77"/>
    <row r="845" ht="15.75" customHeight="1" s="77"/>
    <row r="846" ht="15.75" customHeight="1" s="77"/>
    <row r="847" ht="15.75" customHeight="1" s="77"/>
    <row r="848" ht="15.75" customHeight="1" s="77"/>
    <row r="849" ht="15.75" customHeight="1" s="77"/>
    <row r="850" ht="15.75" customHeight="1" s="77"/>
    <row r="851" ht="15.75" customHeight="1" s="77"/>
    <row r="852" ht="15.75" customHeight="1" s="77"/>
    <row r="853" ht="15.75" customHeight="1" s="77"/>
    <row r="854" ht="15.75" customHeight="1" s="77"/>
    <row r="855" ht="15.75" customHeight="1" s="77"/>
    <row r="856" ht="15.75" customHeight="1" s="77"/>
    <row r="857" ht="15.75" customHeight="1" s="77"/>
    <row r="858" ht="15.75" customHeight="1" s="77"/>
    <row r="859" ht="15.75" customHeight="1" s="77"/>
    <row r="860" ht="15.75" customHeight="1" s="77"/>
    <row r="861" ht="15.75" customHeight="1" s="77"/>
    <row r="862" ht="15.75" customHeight="1" s="77"/>
    <row r="863" ht="15.75" customHeight="1" s="77"/>
    <row r="864" ht="15.75" customHeight="1" s="77"/>
    <row r="865" ht="15.75" customHeight="1" s="77"/>
    <row r="866" ht="15.75" customHeight="1" s="77"/>
    <row r="867" ht="15.75" customHeight="1" s="77"/>
    <row r="868" ht="15.75" customHeight="1" s="77"/>
    <row r="869" ht="15.75" customHeight="1" s="77"/>
    <row r="870" ht="15.75" customHeight="1" s="77"/>
    <row r="871" ht="15.75" customHeight="1" s="77"/>
    <row r="872" ht="15.75" customHeight="1" s="77"/>
    <row r="873" ht="15.75" customHeight="1" s="77"/>
    <row r="874" ht="15.75" customHeight="1" s="77"/>
    <row r="875" ht="15.75" customHeight="1" s="77"/>
    <row r="876" ht="15.75" customHeight="1" s="77"/>
    <row r="877" ht="15.75" customHeight="1" s="77"/>
    <row r="878" ht="15.75" customHeight="1" s="77"/>
    <row r="879" ht="15.75" customHeight="1" s="77"/>
    <row r="880" ht="15.75" customHeight="1" s="77"/>
    <row r="881" ht="15.75" customHeight="1" s="77"/>
    <row r="882" ht="15.75" customHeight="1" s="77"/>
    <row r="883" ht="15.75" customHeight="1" s="77"/>
    <row r="884" ht="15.75" customHeight="1" s="77"/>
    <row r="885" ht="15.75" customHeight="1" s="77"/>
    <row r="886" ht="15.75" customHeight="1" s="77"/>
    <row r="887" ht="15.75" customHeight="1" s="77"/>
    <row r="888" ht="15.75" customHeight="1" s="77"/>
    <row r="889" ht="15.75" customHeight="1" s="77"/>
    <row r="890" ht="15.75" customHeight="1" s="77"/>
    <row r="891" ht="15.75" customHeight="1" s="77"/>
    <row r="892" ht="15.75" customHeight="1" s="77"/>
    <row r="893" ht="15.75" customHeight="1" s="77"/>
    <row r="894" ht="15.75" customHeight="1" s="77"/>
    <row r="895" ht="15.75" customHeight="1" s="77"/>
    <row r="896" ht="15.75" customHeight="1" s="77"/>
    <row r="897" ht="15.75" customHeight="1" s="77"/>
    <row r="898" ht="15.75" customHeight="1" s="77"/>
    <row r="899" ht="15.75" customHeight="1" s="77"/>
    <row r="900" ht="15.75" customHeight="1" s="77"/>
    <row r="901" ht="15.75" customHeight="1" s="77"/>
    <row r="902" ht="15.75" customHeight="1" s="77"/>
    <row r="903" ht="15.75" customHeight="1" s="77"/>
    <row r="904" ht="15.75" customHeight="1" s="77"/>
    <row r="905" ht="15.75" customHeight="1" s="77"/>
    <row r="906" ht="15.75" customHeight="1" s="77"/>
    <row r="907" ht="15.75" customHeight="1" s="77"/>
    <row r="908" ht="15.75" customHeight="1" s="77"/>
    <row r="909" ht="15.75" customHeight="1" s="77"/>
    <row r="910" ht="15.75" customHeight="1" s="77"/>
    <row r="911" ht="15.75" customHeight="1" s="77"/>
    <row r="912" ht="15.75" customHeight="1" s="77"/>
    <row r="913" ht="15.75" customHeight="1" s="77"/>
    <row r="914" ht="15.75" customHeight="1" s="77"/>
    <row r="915" ht="15.75" customHeight="1" s="77"/>
    <row r="916" ht="15.75" customHeight="1" s="77"/>
    <row r="917" ht="15.75" customHeight="1" s="77"/>
    <row r="918" ht="15.75" customHeight="1" s="77"/>
    <row r="919" ht="15.75" customHeight="1" s="77"/>
    <row r="920" ht="15.75" customHeight="1" s="77"/>
    <row r="921" ht="15.75" customHeight="1" s="77"/>
    <row r="922" ht="15.75" customHeight="1" s="77"/>
    <row r="923" ht="15.75" customHeight="1" s="77"/>
    <row r="924" ht="15.75" customHeight="1" s="77"/>
    <row r="925" ht="15.75" customHeight="1" s="77"/>
    <row r="926" ht="15.75" customHeight="1" s="77"/>
    <row r="927" ht="15.75" customHeight="1" s="77"/>
    <row r="928" ht="15.75" customHeight="1" s="77"/>
    <row r="929" ht="15.75" customHeight="1" s="77"/>
    <row r="930" ht="15.75" customHeight="1" s="77"/>
    <row r="931" ht="15.75" customHeight="1" s="77"/>
    <row r="932" ht="15.75" customHeight="1" s="77"/>
    <row r="933" ht="15.75" customHeight="1" s="77"/>
    <row r="934" ht="15.75" customHeight="1" s="77"/>
    <row r="935" ht="15.75" customHeight="1" s="77"/>
    <row r="936" ht="15.75" customHeight="1" s="77"/>
    <row r="937" ht="15.75" customHeight="1" s="77"/>
    <row r="938" ht="15.75" customHeight="1" s="77"/>
    <row r="939" ht="15.75" customHeight="1" s="77"/>
    <row r="940" ht="15.75" customHeight="1" s="77"/>
    <row r="941" ht="15.75" customHeight="1" s="77"/>
    <row r="942" ht="15.75" customHeight="1" s="77"/>
    <row r="943" ht="15.75" customHeight="1" s="77"/>
    <row r="944" ht="15.75" customHeight="1" s="77"/>
    <row r="945" ht="15.75" customHeight="1" s="77"/>
    <row r="946" ht="15.75" customHeight="1" s="77"/>
    <row r="947" ht="15.75" customHeight="1" s="77"/>
    <row r="948" ht="15.75" customHeight="1" s="77"/>
    <row r="949" ht="15.75" customHeight="1" s="77"/>
    <row r="950" ht="15.75" customHeight="1" s="77"/>
    <row r="951" ht="15.75" customHeight="1" s="77"/>
    <row r="952" ht="15.75" customHeight="1" s="77"/>
    <row r="953" ht="15.75" customHeight="1" s="77"/>
    <row r="954" ht="15.75" customHeight="1" s="77"/>
    <row r="955" ht="15.75" customHeight="1" s="77"/>
    <row r="956" ht="15.75" customHeight="1" s="77"/>
    <row r="957" ht="15.75" customHeight="1" s="77"/>
    <row r="958" ht="15.75" customHeight="1" s="77"/>
    <row r="959" ht="15.75" customHeight="1" s="77"/>
    <row r="960" ht="15.75" customHeight="1" s="77"/>
    <row r="961" ht="15.75" customHeight="1" s="77"/>
    <row r="962" ht="15.75" customHeight="1" s="77"/>
    <row r="963" ht="15.75" customHeight="1" s="77"/>
    <row r="964" ht="15.75" customHeight="1" s="77"/>
    <row r="965" ht="15.75" customHeight="1" s="77"/>
    <row r="966" ht="15.75" customHeight="1" s="77"/>
    <row r="967" ht="15.75" customHeight="1" s="77"/>
    <row r="968" ht="15.75" customHeight="1" s="77"/>
    <row r="969" ht="15.75" customHeight="1" s="77"/>
    <row r="970" ht="15.75" customHeight="1" s="77"/>
    <row r="971" ht="15.75" customHeight="1" s="77"/>
    <row r="972" ht="15.75" customHeight="1" s="77"/>
    <row r="973" ht="15.75" customHeight="1" s="77"/>
    <row r="974" ht="15.75" customHeight="1" s="77"/>
    <row r="975" ht="15.75" customHeight="1" s="77"/>
    <row r="976" ht="15.75" customHeight="1" s="77"/>
    <row r="977" ht="15.75" customHeight="1" s="77"/>
    <row r="978" ht="15.75" customHeight="1" s="77"/>
    <row r="979" ht="15.75" customHeight="1" s="77"/>
    <row r="980" ht="15.75" customHeight="1" s="77"/>
    <row r="981" ht="15.75" customHeight="1" s="77"/>
    <row r="982" ht="15.75" customHeight="1" s="77"/>
    <row r="983" ht="15.75" customHeight="1" s="77"/>
    <row r="984" ht="15.75" customHeight="1" s="77"/>
    <row r="985" ht="15.75" customHeight="1" s="77"/>
    <row r="986" ht="15.75" customHeight="1" s="77"/>
    <row r="987" ht="15.75" customHeight="1" s="77"/>
    <row r="988" ht="15.75" customHeight="1" s="77"/>
    <row r="989" ht="15.75" customHeight="1" s="77"/>
    <row r="990" ht="15.75" customHeight="1" s="77"/>
    <row r="991" ht="15.75" customHeight="1" s="77"/>
    <row r="992" ht="15.75" customHeight="1" s="77"/>
    <row r="993" ht="15.75" customHeight="1" s="77"/>
    <row r="994" ht="15.75" customHeight="1" s="77"/>
    <row r="995" ht="15.75" customHeight="1" s="77"/>
    <row r="996" ht="15.75" customHeight="1" s="77"/>
    <row r="997" ht="15.75" customHeight="1" s="77"/>
    <row r="998" ht="15.75" customHeight="1" s="77"/>
    <row r="999" ht="15.75" customHeight="1" s="77"/>
    <row r="1000" ht="15.75" customHeight="1" s="77"/>
  </sheetData>
  <mergeCells count="16">
    <mergeCell ref="D54:G54"/>
    <mergeCell ref="D41:G41"/>
    <mergeCell ref="A81:C84"/>
    <mergeCell ref="A2:B2"/>
    <mergeCell ref="D17:G17"/>
    <mergeCell ref="A80:C80"/>
    <mergeCell ref="D75:G75"/>
    <mergeCell ref="A79:C79"/>
    <mergeCell ref="D60:G60"/>
    <mergeCell ref="A4:C6"/>
    <mergeCell ref="D7:G7"/>
    <mergeCell ref="A75:C78"/>
    <mergeCell ref="A3:C3"/>
    <mergeCell ref="D11:G11"/>
    <mergeCell ref="D27:G27"/>
    <mergeCell ref="A7:C7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2026-08-24T12:39:18Z</dcterms:created>
  <dcterms:modified xsi:type="dcterms:W3CDTF">2026-08-24T12:53:47Z</dcterms:modified>
  <cp:lastModifiedBy>Mdg Stagiaire IT</cp:lastModifiedBy>
</cp:coreProperties>
</file>